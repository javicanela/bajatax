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Baja Tax\Dpto. Impuestos\BT Dennise Rivera\"/>
    </mc:Choice>
  </mc:AlternateContent>
  <xr:revisionPtr revIDLastSave="0" documentId="13_ncr:1_{70AA1E13-BD0D-4B2D-87B7-3B9DCCEE687A}" xr6:coauthVersionLast="47" xr6:coauthVersionMax="47" xr10:uidLastSave="{00000000-0000-0000-0000-000000000000}"/>
  <bookViews>
    <workbookView xWindow="-120" yWindow="-120" windowWidth="29040" windowHeight="15720" xr2:uid="{F36EAEB6-EA92-4042-B6EF-891A6345B294}"/>
  </bookViews>
  <sheets>
    <sheet name="Clientes" sheetId="1" r:id="rId1"/>
    <sheet name="Cobranza" sheetId="3" r:id="rId2"/>
    <sheet name="Pagos Impuestos " sheetId="4" r:id="rId3"/>
    <sheet name="Vigencia E Firmas y Sellos" sheetId="2" r:id="rId4"/>
    <sheet name="Datos Informativos" sheetId="5" r:id="rId5"/>
    <sheet name="Hoja1" sheetId="6" r:id="rId6"/>
  </sheets>
  <definedNames>
    <definedName name="_xlnm._FilterDatabase" localSheetId="0" hidden="1">Clientes!$B$4:$BR$31</definedName>
    <definedName name="_xlnm._FilterDatabase" localSheetId="1" hidden="1">Cobranza!$B$2:$Z$2</definedName>
    <definedName name="_xlnm._FilterDatabase" localSheetId="5" hidden="1">Hoja1!$B$11:$F$11</definedName>
    <definedName name="_xlnm._FilterDatabase" localSheetId="2" hidden="1">'Pagos Impuestos '!$B$3:$C$3</definedName>
    <definedName name="_xlnm._FilterDatabase" localSheetId="3" hidden="1">'Vigencia E Firmas y Sellos'!$B$2:$F$2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C48" i="5" l="1"/>
  <c r="C46" i="5"/>
  <c r="C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Baja Tax</author>
    <author>BAJATAX</author>
    <author>-</author>
  </authors>
  <commentList>
    <comment ref="E5" authorId="0" shapeId="0" xr:uid="{2AB8743B-45D8-461D-AFE9-BC4B16C0777B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</text>
    </comment>
    <comment ref="E6" authorId="0" shapeId="0" xr:uid="{E8F9BB40-0D60-4BC0-A99B-91241C6A4105}">
      <text>
        <r>
          <rPr>
            <b/>
            <sz val="9"/>
            <color indexed="81"/>
            <rFont val="Tahoma"/>
            <family val="2"/>
          </rPr>
          <t>SOLO ISR</t>
        </r>
      </text>
    </comment>
    <comment ref="E7" authorId="0" shapeId="0" xr:uid="{3AC12CE3-3BEA-459F-8728-8091B36E44C8}">
      <text>
        <r>
          <rPr>
            <b/>
            <sz val="9"/>
            <color indexed="81"/>
            <rFont val="Tahoma"/>
            <family val="2"/>
          </rPr>
          <t xml:space="preserve">Tambien con Sintoniza sin Frontera (Veronica Sanchez) </t>
        </r>
        <r>
          <rPr>
            <sz val="9"/>
            <color indexed="81"/>
            <rFont val="Tahoma"/>
            <family val="2"/>
          </rPr>
          <t xml:space="preserve">
SOLO ISR</t>
        </r>
      </text>
    </comment>
    <comment ref="AH7" authorId="0" shapeId="0" xr:uid="{8DCE3002-F657-4A02-B2E5-CADE52A6A756}">
      <text>
        <r>
          <rPr>
            <b/>
            <sz val="9"/>
            <color indexed="81"/>
            <rFont val="Tahoma"/>
            <family val="2"/>
          </rPr>
          <t>Ya se regularizo pero aun no se actualiza Opinión SAT</t>
        </r>
      </text>
    </comment>
    <comment ref="AL7" authorId="0" shapeId="0" xr:uid="{0E979287-6993-4B58-9560-8A8B8A0454C9}">
      <text>
        <r>
          <rPr>
            <b/>
            <sz val="9"/>
            <color indexed="81"/>
            <rFont val="Tahoma"/>
            <family val="2"/>
          </rPr>
          <t>Ya se regularizo pero aun no se actualiza Opinión SAT</t>
        </r>
      </text>
    </comment>
    <comment ref="AT7" authorId="0" shapeId="0" xr:uid="{9831B110-2472-4EBC-86CB-327BEEEECDF6}">
      <text>
        <r>
          <rPr>
            <b/>
            <sz val="9"/>
            <color indexed="81"/>
            <rFont val="Tahoma"/>
            <family val="2"/>
          </rPr>
          <t>Ya se regularizo pero aun no se actualiza Opinión SAT</t>
        </r>
      </text>
    </comment>
    <comment ref="E8" authorId="0" shapeId="0" xr:uid="{DE84FF0C-4C80-4C79-B9FD-EF85F6F33026}">
      <text>
        <r>
          <rPr>
            <b/>
            <sz val="9"/>
            <color indexed="81"/>
            <rFont val="Tahoma"/>
            <family val="2"/>
          </rPr>
          <t xml:space="preserve">SOLO ISR </t>
        </r>
      </text>
    </comment>
    <comment ref="E9" authorId="0" shapeId="0" xr:uid="{FB1149ED-FCA2-4905-94CC-4E569F8FE917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9" authorId="0" shapeId="0" xr:uid="{C470665E-8712-41FF-94A3-AAF3A0FC7D74}">
      <text>
        <r>
          <rPr>
            <b/>
            <sz val="9"/>
            <color indexed="81"/>
            <rFont val="Tahoma"/>
            <family val="2"/>
          </rPr>
          <t>No se presento porque no tenia retenciones y no tiene obligación</t>
        </r>
      </text>
    </comment>
    <comment ref="BA9" authorId="0" shapeId="0" xr:uid="{FBB81C7D-8C42-4358-9AB6-8A1000EE084E}">
      <text>
        <r>
          <rPr>
            <b/>
            <sz val="9"/>
            <color indexed="81"/>
            <rFont val="Tahoma"/>
            <family val="2"/>
          </rPr>
          <t>No se presento ya que no le genero nada a pagar</t>
        </r>
      </text>
    </comment>
    <comment ref="BH10" authorId="1" shapeId="0" xr:uid="{F5F59F21-E134-4970-AD11-B276A4B61508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BH11" authorId="1" shapeId="0" xr:uid="{A01E6105-890A-459F-B6D2-0D47229A7F1B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AL12" authorId="0" shapeId="0" xr:uid="{7D703965-2CEC-4E84-96D5-605041EC35F0}">
      <text>
        <r>
          <rPr>
            <b/>
            <sz val="9"/>
            <color indexed="81"/>
            <rFont val="Tahoma"/>
            <family val="2"/>
          </rPr>
          <t>Por periodos anteriores y se regularizara en 0</t>
        </r>
      </text>
    </comment>
    <comment ref="AT12" authorId="0" shapeId="0" xr:uid="{A6229A3D-6D88-4D40-8EAA-7D84053C4BBC}">
      <text>
        <r>
          <rPr>
            <b/>
            <sz val="9"/>
            <color indexed="81"/>
            <rFont val="Tahoma"/>
            <family val="2"/>
          </rPr>
          <t>Por periodos anteriores y se regularizara en 0</t>
        </r>
      </text>
    </comment>
    <comment ref="BH12" authorId="1" shapeId="0" xr:uid="{0FDAFC42-EFA6-48C4-B222-F125F44BE594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BH13" authorId="1" shapeId="0" xr:uid="{09D7CE2F-C4EE-46D5-B510-C31B258AD5D2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BH14" authorId="1" shapeId="0" xr:uid="{6A3B83F0-89C3-4A8E-8AC3-F3238395BC6B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E15" authorId="2" shapeId="0" xr:uid="{81B02B4F-D712-414A-A3B7-0526B2766925}">
      <text>
        <r>
          <rPr>
            <sz val="12"/>
            <color indexed="81"/>
            <rFont val="Tahoma"/>
            <family val="2"/>
          </rPr>
          <t xml:space="preserve">Pedir Edos Cuenta de Bajapoliplast, ahí vienen los movimentos/ ingresos para Javier
</t>
        </r>
      </text>
    </comment>
    <comment ref="E16" authorId="0" shapeId="0" xr:uid="{8498DBD4-BED2-40D6-8635-CF73CE3F0ED6}">
      <text>
        <r>
          <rPr>
            <b/>
            <sz val="9"/>
            <color indexed="81"/>
            <rFont val="Tahoma"/>
            <family val="2"/>
          </rPr>
          <t xml:space="preserve">Pedir los movimientos de cuenta para hacer facturas de honorarios a PBS mes a mes
</t>
        </r>
      </text>
    </comment>
    <comment ref="BH17" authorId="1" shapeId="0" xr:uid="{9D58796D-BEBB-4026-904F-B299D3EA07B9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BH19" authorId="1" shapeId="0" xr:uid="{3563D03F-D5A2-4507-A92F-68E5658842A4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  <comment ref="BH20" authorId="1" shapeId="0" xr:uid="{85987412-09B3-4B85-91A7-0FC1EE8B778E}">
      <text>
        <r>
          <rPr>
            <b/>
            <sz val="9"/>
            <color indexed="81"/>
            <rFont val="Tahoma"/>
            <family val="2"/>
          </rPr>
          <t>Declarado por Joss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Baja Tax</author>
    <author>-</author>
  </authors>
  <commentList>
    <comment ref="C4" authorId="0" shapeId="0" xr:uid="{6A8C13F3-E47B-4D8D-9FAA-568D679035AE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</text>
    </comment>
    <comment ref="C5" authorId="0" shapeId="0" xr:uid="{5D8A81F6-6B27-4183-AC90-69D8D12D91CA}">
      <text>
        <r>
          <rPr>
            <b/>
            <sz val="9"/>
            <color indexed="81"/>
            <rFont val="Tahoma"/>
            <family val="2"/>
          </rPr>
          <t>SOLO ISR</t>
        </r>
      </text>
    </comment>
    <comment ref="C6" authorId="0" shapeId="0" xr:uid="{628FFAB9-B454-4A0C-BCBE-D028413DBAA7}">
      <text>
        <r>
          <rPr>
            <b/>
            <sz val="9"/>
            <color indexed="81"/>
            <rFont val="Tahoma"/>
            <family val="2"/>
          </rPr>
          <t xml:space="preserve">Tambien con Sintoniza sin Frontera (Veronica Sanchez) </t>
        </r>
        <r>
          <rPr>
            <sz val="9"/>
            <color indexed="81"/>
            <rFont val="Tahoma"/>
            <family val="2"/>
          </rPr>
          <t xml:space="preserve">
SOLO ISR</t>
        </r>
      </text>
    </comment>
    <comment ref="C7" authorId="0" shapeId="0" xr:uid="{99D37BCC-B193-40EB-95E8-C7A4239365D5}">
      <text>
        <r>
          <rPr>
            <b/>
            <sz val="9"/>
            <color indexed="81"/>
            <rFont val="Tahoma"/>
            <family val="2"/>
          </rPr>
          <t xml:space="preserve">SOLO ISR </t>
        </r>
      </text>
    </comment>
    <comment ref="C8" authorId="0" shapeId="0" xr:uid="{7B85FF4A-8281-4E93-9FD0-088CD026F5AC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 xr:uid="{CBC40745-92FD-462D-A4D0-EFD7910F4684}">
      <text>
        <r>
          <rPr>
            <sz val="12"/>
            <color indexed="81"/>
            <rFont val="Tahoma"/>
            <family val="2"/>
          </rPr>
          <t xml:space="preserve">Pedir Edos Cuenta de Bajapoliplast, ahí vienen los movimentos/ ingresos para Javier
</t>
        </r>
      </text>
    </comment>
    <comment ref="C13" authorId="0" shapeId="0" xr:uid="{667C2C24-E6D0-4971-9579-EE5B13291CDE}">
      <text>
        <r>
          <rPr>
            <b/>
            <sz val="9"/>
            <color indexed="81"/>
            <rFont val="Tahoma"/>
            <family val="2"/>
          </rPr>
          <t xml:space="preserve">Pedir los movimientos de cuenta para hacer facturas de honorarios a PBS mes a mes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Baja Tax</author>
    <author>-</author>
  </authors>
  <commentList>
    <comment ref="C3" authorId="0" shapeId="0" xr:uid="{2CE44AE2-EF9C-4445-83FF-60D38E9E19B0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</text>
    </comment>
    <comment ref="C4" authorId="0" shapeId="0" xr:uid="{40F1069C-FF32-4953-9B26-E01A857A5488}">
      <text>
        <r>
          <rPr>
            <b/>
            <sz val="9"/>
            <color indexed="81"/>
            <rFont val="Tahoma"/>
            <family val="2"/>
          </rPr>
          <t>SOLO ISR</t>
        </r>
      </text>
    </comment>
    <comment ref="C5" authorId="0" shapeId="0" xr:uid="{1F90ED6C-0589-496A-9602-1F68B047587F}">
      <text>
        <r>
          <rPr>
            <b/>
            <sz val="9"/>
            <color indexed="81"/>
            <rFont val="Tahoma"/>
            <family val="2"/>
          </rPr>
          <t xml:space="preserve">Tambien con Sintoniza sin Frontera (Veronica Sanchez) </t>
        </r>
        <r>
          <rPr>
            <sz val="9"/>
            <color indexed="81"/>
            <rFont val="Tahoma"/>
            <family val="2"/>
          </rPr>
          <t xml:space="preserve">
SOLO ISR</t>
        </r>
      </text>
    </comment>
    <comment ref="C6" authorId="0" shapeId="0" xr:uid="{9A0BBA25-38ED-4F10-AC9C-08E02F322EB3}">
      <text>
        <r>
          <rPr>
            <b/>
            <sz val="9"/>
            <color indexed="81"/>
            <rFont val="Tahoma"/>
            <family val="2"/>
          </rPr>
          <t xml:space="preserve">SOLO ISR </t>
        </r>
      </text>
    </comment>
    <comment ref="C7" authorId="0" shapeId="0" xr:uid="{A919F507-392A-4BD2-B04E-6CA3FB78763A}">
      <text>
        <r>
          <rPr>
            <b/>
            <sz val="9"/>
            <color indexed="81"/>
            <rFont val="Tahoma"/>
            <family val="2"/>
          </rPr>
          <t xml:space="preserve">Se le declara solo las retenciones si no salen, NO SE DECLARA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1" shapeId="0" xr:uid="{0F83F714-5181-42AD-AF2F-D519789C8105}">
      <text>
        <r>
          <rPr>
            <sz val="12"/>
            <color indexed="81"/>
            <rFont val="Tahoma"/>
            <family val="2"/>
          </rPr>
          <t xml:space="preserve">Pedir Edos Cuenta de Bajapoliplast, ahí vienen los movimentos/ ingresos para Javier
</t>
        </r>
      </text>
    </comment>
    <comment ref="C14" authorId="0" shapeId="0" xr:uid="{4EE2C891-C2B3-4F50-84ED-9E072B6FE6B5}">
      <text>
        <r>
          <rPr>
            <b/>
            <sz val="9"/>
            <color indexed="81"/>
            <rFont val="Tahoma"/>
            <family val="2"/>
          </rPr>
          <t xml:space="preserve">Pedir los movimientos de cuenta para hacer facturas de honorarios a PBS mes a mes
</t>
        </r>
      </text>
    </comment>
  </commentList>
</comments>
</file>

<file path=xl/sharedStrings.xml><?xml version="1.0" encoding="utf-8"?>
<sst xmlns="http://schemas.openxmlformats.org/spreadsheetml/2006/main" count="1377" uniqueCount="316">
  <si>
    <t>Régimen Fiscal</t>
  </si>
  <si>
    <t>Nombre del Contribuyente</t>
  </si>
  <si>
    <t>RFC</t>
  </si>
  <si>
    <t>Contraseña</t>
  </si>
  <si>
    <t>Fiel</t>
  </si>
  <si>
    <t>Sellos</t>
  </si>
  <si>
    <t>e-mail [1]</t>
  </si>
  <si>
    <t>tel [1]</t>
  </si>
  <si>
    <t>e-mail [2]</t>
  </si>
  <si>
    <t>tel [2]</t>
  </si>
  <si>
    <t>Enero</t>
  </si>
  <si>
    <t>DIOT</t>
  </si>
  <si>
    <t>Cedúla Lista</t>
  </si>
  <si>
    <t>Vigencia Impuestos</t>
  </si>
  <si>
    <t>Opinión SAT</t>
  </si>
  <si>
    <t>Febrero</t>
  </si>
  <si>
    <t>Marzo</t>
  </si>
  <si>
    <t>Abril</t>
  </si>
  <si>
    <t xml:space="preserve">Mayo </t>
  </si>
  <si>
    <t>Algun pendinte/ factura por confirmar</t>
  </si>
  <si>
    <t>Pendiente de presentar pero cedula lista</t>
  </si>
  <si>
    <t>Presentada</t>
  </si>
  <si>
    <t>Días extras para declarar</t>
  </si>
  <si>
    <t>1 y 2 día 17 más un día hábil</t>
  </si>
  <si>
    <t>3 y 4 día 17 más dos días hábiles</t>
  </si>
  <si>
    <t>5 y 6 día 17 más tres días hábiles</t>
  </si>
  <si>
    <t>7 y 8 día 17 más cuatro días hábiles</t>
  </si>
  <si>
    <t>9 y 0 día 17 más cinco días hábiles</t>
  </si>
  <si>
    <t>Días +</t>
  </si>
  <si>
    <t>Factura o Excel</t>
  </si>
  <si>
    <t>Envio de Honorarios</t>
  </si>
  <si>
    <t>COMPROBANTE DE PAGO SAT</t>
  </si>
  <si>
    <t>Regimen</t>
  </si>
  <si>
    <t>Cliente</t>
  </si>
  <si>
    <t>PM</t>
  </si>
  <si>
    <t>Marlo Internacional S de RL de CV</t>
  </si>
  <si>
    <t>PASTELES</t>
  </si>
  <si>
    <t>contabilidad.marlo.int@gmail.com</t>
  </si>
  <si>
    <t>.</t>
  </si>
  <si>
    <t>Fort Realty Firm SA de CV (Inmobiliaria)</t>
  </si>
  <si>
    <r>
      <t>FRF20030</t>
    </r>
    <r>
      <rPr>
        <b/>
        <sz val="11"/>
        <color rgb="FF0000FF"/>
        <rFont val="Aptos Display"/>
        <family val="2"/>
        <scheme val="major"/>
      </rPr>
      <t>3</t>
    </r>
    <r>
      <rPr>
        <sz val="11"/>
        <color theme="1" tint="0.249977111117893"/>
        <rFont val="Aptos Display"/>
        <family val="2"/>
        <scheme val="major"/>
      </rPr>
      <t>C82</t>
    </r>
  </si>
  <si>
    <t>BajaTax7</t>
  </si>
  <si>
    <t>2024GFORT</t>
  </si>
  <si>
    <t>Gfort123</t>
  </si>
  <si>
    <t>anachavez@fortmexico.com</t>
  </si>
  <si>
    <t>664 309 3342</t>
  </si>
  <si>
    <t>Grupo Inmobiliario del Noroeste Rubman SA de CV</t>
  </si>
  <si>
    <r>
      <t>GIN24022</t>
    </r>
    <r>
      <rPr>
        <b/>
        <sz val="11"/>
        <color rgb="FF0000FF"/>
        <rFont val="Aptos Display"/>
        <family val="2"/>
        <scheme val="major"/>
      </rPr>
      <t>0</t>
    </r>
    <r>
      <rPr>
        <sz val="11"/>
        <color theme="1" tint="0.249977111117893"/>
        <rFont val="Aptos Display"/>
        <family val="2"/>
        <scheme val="major"/>
      </rPr>
      <t>AU0</t>
    </r>
  </si>
  <si>
    <t xml:space="preserve">  rubman24</t>
  </si>
  <si>
    <t>rubman2024</t>
  </si>
  <si>
    <t>Rubman2024</t>
  </si>
  <si>
    <t>Mattis Elit Jea S.A. de C.V.</t>
  </si>
  <si>
    <t>g2r5u7p8</t>
  </si>
  <si>
    <t>ragohrealtygroup25</t>
  </si>
  <si>
    <t>663-198-2235</t>
  </si>
  <si>
    <t>PMR</t>
  </si>
  <si>
    <t>Ng Trucking S de RL de CV</t>
  </si>
  <si>
    <t>NTR0604258K7</t>
  </si>
  <si>
    <t>Nathan01</t>
  </si>
  <si>
    <t>Baja Poliplast</t>
  </si>
  <si>
    <t>Comercializadora de Limones Jaiden S. de R.L. de C.V.</t>
  </si>
  <si>
    <t>EDUCACION EN CIBERSEGURIDAD Y TECNOLOGIA</t>
  </si>
  <si>
    <t>Hdipermex (forma parte de baja poliplast)</t>
  </si>
  <si>
    <t>Piping &amp; Boiler Specialists, Industria Electrica Internacional SA de CV</t>
  </si>
  <si>
    <t xml:space="preserve">Brillemos Juntos A.C. </t>
  </si>
  <si>
    <t>Sintoniza sin Fronteras A.C.</t>
  </si>
  <si>
    <t>CUMPLIENDO SUEÑOS BC AC</t>
  </si>
  <si>
    <t xml:space="preserve">COLEGIO FONTI BC </t>
  </si>
  <si>
    <t>Colegio de Anestesiologos de Tijuana Dr Benigno Miranda Gomez A.C.</t>
  </si>
  <si>
    <t>PFR</t>
  </si>
  <si>
    <t>PF</t>
  </si>
  <si>
    <t>ACD</t>
  </si>
  <si>
    <t>AC PM</t>
  </si>
  <si>
    <t>AC FNL</t>
  </si>
  <si>
    <t>Comentarios</t>
  </si>
  <si>
    <t>✓</t>
  </si>
  <si>
    <t>Factura</t>
  </si>
  <si>
    <t>En ceros</t>
  </si>
  <si>
    <t>De aquí se le factura a Javier Honorarios y preguntar si pagaran impuestos de Javier</t>
  </si>
  <si>
    <t>Conciliar  y revisar fechas de pago de honorarios a Julio</t>
  </si>
  <si>
    <t>Obligatorio20</t>
  </si>
  <si>
    <t>Aneste93</t>
  </si>
  <si>
    <t>ANESTE93</t>
  </si>
  <si>
    <t xml:space="preserve">Haciend4 </t>
  </si>
  <si>
    <t>topochico00</t>
  </si>
  <si>
    <t>sintonizasinfronteras@gmail.com</t>
  </si>
  <si>
    <t>colegioanestij@yahoo.com.mx</t>
  </si>
  <si>
    <t>uniendosuenosbc@gmail.com</t>
  </si>
  <si>
    <t>Haciend4</t>
  </si>
  <si>
    <t>uniendo09</t>
  </si>
  <si>
    <t>Sergio.fuentes112@gmail.com</t>
  </si>
  <si>
    <t>FONT1202</t>
  </si>
  <si>
    <t>F0NT12024</t>
  </si>
  <si>
    <t>e.ching@brijac.com.mx</t>
  </si>
  <si>
    <t>eduardo1</t>
  </si>
  <si>
    <t>eduardo1986</t>
  </si>
  <si>
    <t>jmkleimann@gmail.com</t>
  </si>
  <si>
    <t>BPO220222</t>
  </si>
  <si>
    <t>x10n8014@gmail.com</t>
  </si>
  <si>
    <t>Limones6</t>
  </si>
  <si>
    <t>EDUCIT26</t>
  </si>
  <si>
    <t>Redencion26</t>
  </si>
  <si>
    <t>admin@educit.com.mx</t>
  </si>
  <si>
    <t>(664) 358-1909</t>
  </si>
  <si>
    <t>hdipermex123</t>
  </si>
  <si>
    <t>hdiperme</t>
  </si>
  <si>
    <t>edwin@bordergrower.com</t>
  </si>
  <si>
    <t>PBS66IEI</t>
  </si>
  <si>
    <t>PBS77jesus</t>
  </si>
  <si>
    <t>PIPING2016</t>
  </si>
  <si>
    <t>direccion@pbsindustriaelectrica.com</t>
  </si>
  <si>
    <t>julian62</t>
  </si>
  <si>
    <t>dajaal95</t>
  </si>
  <si>
    <t>x10n8014</t>
  </si>
  <si>
    <t>600514He</t>
  </si>
  <si>
    <t>Genoa342</t>
  </si>
  <si>
    <t>pbsjesus@netscape.net</t>
  </si>
  <si>
    <t>8216J72A</t>
  </si>
  <si>
    <t>8216j72a</t>
  </si>
  <si>
    <t>jve77nn2</t>
  </si>
  <si>
    <t>jve77nn20</t>
  </si>
  <si>
    <t>juliovazquezb@hotmail.com</t>
  </si>
  <si>
    <t>-</t>
  </si>
  <si>
    <t>Conciliar, preguntar antes de declarar y preguntar cuantas facturas P ingresar al mes</t>
  </si>
  <si>
    <t>Hdipermex (forma parte de baja poliplast) (EN CEROS)</t>
  </si>
  <si>
    <r>
      <t xml:space="preserve">Julian Jaimes Denova </t>
    </r>
    <r>
      <rPr>
        <sz val="11"/>
        <color theme="9" tint="-0.249977111117893"/>
        <rFont val="Aptos Display"/>
        <family val="2"/>
        <scheme val="major"/>
      </rPr>
      <t>(Comercilizadora, Papá)</t>
    </r>
  </si>
  <si>
    <r>
      <t xml:space="preserve">David Jaimes Alvarez </t>
    </r>
    <r>
      <rPr>
        <sz val="11"/>
        <color theme="9" tint="-0.249977111117893"/>
        <rFont val="Aptos Display"/>
        <family val="2"/>
        <scheme val="major"/>
      </rPr>
      <t>(Comercilizadora, Hijo)</t>
    </r>
  </si>
  <si>
    <r>
      <t xml:space="preserve">Julio Vasquez </t>
    </r>
    <r>
      <rPr>
        <sz val="11"/>
        <color theme="5" tint="-0.249977111117893"/>
        <rFont val="Aptos Display"/>
        <family val="2"/>
        <scheme val="major"/>
      </rPr>
      <t>(PBS)</t>
    </r>
  </si>
  <si>
    <r>
      <t xml:space="preserve">Elbira Hernandez Ledesma </t>
    </r>
    <r>
      <rPr>
        <sz val="11"/>
        <color theme="5" tint="-0.249977111117893"/>
        <rFont val="Aptos Display"/>
        <family val="2"/>
        <scheme val="major"/>
      </rPr>
      <t>(PBS)</t>
    </r>
  </si>
  <si>
    <r>
      <t xml:space="preserve">Javier Hernandez Valencia </t>
    </r>
    <r>
      <rPr>
        <sz val="12"/>
        <color theme="4" tint="-0.249977111117893"/>
        <rFont val="Aptos Narrow"/>
        <family val="2"/>
        <scheme val="minor"/>
      </rPr>
      <t>(BajaPoliplast)</t>
    </r>
  </si>
  <si>
    <t>nathan@ngtrucking.com</t>
  </si>
  <si>
    <t>alberto.floresav@gmail.com</t>
  </si>
  <si>
    <t>X</t>
  </si>
  <si>
    <t>Baja Regenerative Biotechnologies (Kleiman)</t>
  </si>
  <si>
    <t>PAGOS</t>
  </si>
  <si>
    <t>Se cobran 1 vez al año en DICIEMBRE</t>
  </si>
  <si>
    <t>Sin Honorarios</t>
  </si>
  <si>
    <r>
      <t xml:space="preserve">Julian Jaimes Denova </t>
    </r>
    <r>
      <rPr>
        <sz val="11"/>
        <color theme="9" tint="-0.249977111117893"/>
        <rFont val="Aptos Narrow"/>
        <family val="2"/>
        <scheme val="minor"/>
      </rPr>
      <t>(Comercializadora)</t>
    </r>
  </si>
  <si>
    <r>
      <t xml:space="preserve">David Jaimes Alvarez </t>
    </r>
    <r>
      <rPr>
        <sz val="11"/>
        <color theme="9" tint="-0.249977111117893"/>
        <rFont val="Aptos Narrow"/>
        <family val="2"/>
        <scheme val="minor"/>
      </rPr>
      <t>(Comercialziadora)</t>
    </r>
  </si>
  <si>
    <r>
      <t xml:space="preserve">Julio Vasquez </t>
    </r>
    <r>
      <rPr>
        <sz val="11"/>
        <color theme="5" tint="-0.249977111117893"/>
        <rFont val="Aptos Narrow"/>
        <family val="2"/>
        <scheme val="minor"/>
      </rPr>
      <t>(PBS)</t>
    </r>
  </si>
  <si>
    <r>
      <t>Elbira Hernandez Ledesma</t>
    </r>
    <r>
      <rPr>
        <sz val="11"/>
        <color theme="5" tint="-0.249977111117893"/>
        <rFont val="Aptos Narrow"/>
        <family val="2"/>
        <scheme val="minor"/>
      </rPr>
      <t xml:space="preserve"> (PBS)</t>
    </r>
  </si>
  <si>
    <t>Sin Honorarios hasta que comiencen operaciones</t>
  </si>
  <si>
    <t>Sin honorarios</t>
  </si>
  <si>
    <t>Excel</t>
  </si>
  <si>
    <r>
      <t>SSF19051</t>
    </r>
    <r>
      <rPr>
        <b/>
        <sz val="11"/>
        <color rgb="FF1D22EF"/>
        <rFont val="Aptos Narrow"/>
        <family val="2"/>
        <scheme val="minor"/>
      </rPr>
      <t>6</t>
    </r>
    <r>
      <rPr>
        <sz val="11"/>
        <color theme="1" tint="0.249977111117893"/>
        <rFont val="Aptos Narrow"/>
        <family val="2"/>
        <scheme val="minor"/>
      </rPr>
      <t>QJ5</t>
    </r>
  </si>
  <si>
    <r>
      <t>CAT93100</t>
    </r>
    <r>
      <rPr>
        <b/>
        <sz val="11"/>
        <color rgb="FF1D22EF"/>
        <rFont val="Aptos Narrow"/>
        <family val="2"/>
        <scheme val="minor"/>
      </rPr>
      <t>6</t>
    </r>
    <r>
      <rPr>
        <sz val="11"/>
        <color theme="1" tint="0.249977111117893"/>
        <rFont val="Aptos Narrow"/>
        <family val="2"/>
        <scheme val="minor"/>
      </rPr>
      <t>E16</t>
    </r>
  </si>
  <si>
    <r>
      <t>CFB24052</t>
    </r>
    <r>
      <rPr>
        <b/>
        <sz val="11"/>
        <color rgb="FF1D22EF"/>
        <rFont val="Aptos Narrow"/>
        <family val="2"/>
        <scheme val="minor"/>
      </rPr>
      <t>4</t>
    </r>
    <r>
      <rPr>
        <sz val="11"/>
        <color theme="1" tint="0.249977111117893"/>
        <rFont val="Aptos Narrow"/>
        <family val="2"/>
        <scheme val="minor"/>
      </rPr>
      <t>F72</t>
    </r>
  </si>
  <si>
    <r>
      <t>BJU19081</t>
    </r>
    <r>
      <rPr>
        <b/>
        <sz val="11"/>
        <color rgb="FF1D22EF"/>
        <rFont val="Aptos Narrow"/>
        <family val="2"/>
        <scheme val="minor"/>
      </rPr>
      <t>6</t>
    </r>
    <r>
      <rPr>
        <sz val="11"/>
        <color theme="1" tint="0.249977111117893"/>
        <rFont val="Aptos Narrow"/>
        <family val="2"/>
        <scheme val="minor"/>
      </rPr>
      <t>SZ3</t>
    </r>
  </si>
  <si>
    <r>
      <t>JADJ62061</t>
    </r>
    <r>
      <rPr>
        <b/>
        <sz val="11"/>
        <color rgb="FF1D22EF"/>
        <rFont val="Aptos Narrow"/>
        <family val="2"/>
        <scheme val="minor"/>
      </rPr>
      <t>9</t>
    </r>
    <r>
      <rPr>
        <sz val="11"/>
        <color theme="1" tint="0.249977111117893"/>
        <rFont val="Aptos Narrow"/>
        <family val="2"/>
        <scheme val="minor"/>
      </rPr>
      <t>MU4</t>
    </r>
  </si>
  <si>
    <r>
      <t>JAAD95093</t>
    </r>
    <r>
      <rPr>
        <b/>
        <sz val="11"/>
        <color rgb="FF1D22EF"/>
        <rFont val="Aptos Narrow"/>
        <family val="2"/>
        <scheme val="minor"/>
      </rPr>
      <t>0</t>
    </r>
    <r>
      <rPr>
        <sz val="11"/>
        <color theme="1" tint="0.249977111117893"/>
        <rFont val="Aptos Narrow"/>
        <family val="2"/>
        <scheme val="minor"/>
      </rPr>
      <t>TQ5</t>
    </r>
  </si>
  <si>
    <r>
      <t>VABJ66040</t>
    </r>
    <r>
      <rPr>
        <b/>
        <sz val="11"/>
        <color rgb="FF1D22EF"/>
        <rFont val="Aptos Narrow"/>
        <family val="2"/>
        <scheme val="minor"/>
      </rPr>
      <t>4</t>
    </r>
    <r>
      <rPr>
        <sz val="11"/>
        <color theme="1" tint="0.249977111117893"/>
        <rFont val="Aptos Narrow"/>
        <family val="2"/>
        <scheme val="minor"/>
      </rPr>
      <t>IQ3</t>
    </r>
  </si>
  <si>
    <r>
      <t>HELE60051</t>
    </r>
    <r>
      <rPr>
        <b/>
        <sz val="11"/>
        <color rgb="FF1D22EF"/>
        <rFont val="Aptos Narrow"/>
        <family val="2"/>
        <scheme val="minor"/>
      </rPr>
      <t>4</t>
    </r>
    <r>
      <rPr>
        <sz val="11"/>
        <color theme="1" tint="0.249977111117893"/>
        <rFont val="Aptos Narrow"/>
        <family val="2"/>
        <scheme val="minor"/>
      </rPr>
      <t>NXA</t>
    </r>
  </si>
  <si>
    <r>
      <t>HEVJ72091</t>
    </r>
    <r>
      <rPr>
        <b/>
        <sz val="11"/>
        <color rgb="FF1D22EF"/>
        <rFont val="Aptos Narrow"/>
        <family val="2"/>
        <scheme val="minor"/>
      </rPr>
      <t>6</t>
    </r>
    <r>
      <rPr>
        <sz val="11"/>
        <color theme="1" tint="0.249977111117893"/>
        <rFont val="Aptos Narrow"/>
        <family val="2"/>
        <scheme val="minor"/>
      </rPr>
      <t>120</t>
    </r>
  </si>
  <si>
    <r>
      <t>MIN98011</t>
    </r>
    <r>
      <rPr>
        <b/>
        <sz val="11"/>
        <color rgb="FF1D22EF"/>
        <rFont val="Aptos Narrow"/>
        <family val="2"/>
        <scheme val="minor"/>
      </rPr>
      <t>9</t>
    </r>
    <r>
      <rPr>
        <sz val="11"/>
        <color theme="1" tint="0.249977111117893"/>
        <rFont val="Aptos Narrow"/>
        <family val="2"/>
        <scheme val="minor"/>
      </rPr>
      <t>MQ0</t>
    </r>
  </si>
  <si>
    <r>
      <t>MEJ22052</t>
    </r>
    <r>
      <rPr>
        <b/>
        <sz val="11"/>
        <color rgb="FF1D22EF"/>
        <rFont val="Aptos Display"/>
        <family val="2"/>
        <scheme val="major"/>
      </rPr>
      <t>3</t>
    </r>
    <r>
      <rPr>
        <sz val="11"/>
        <color theme="1" tint="0.249977111117893"/>
        <rFont val="Aptos Display"/>
        <family val="2"/>
        <scheme val="major"/>
      </rPr>
      <t>223</t>
    </r>
  </si>
  <si>
    <r>
      <t>BPO22022</t>
    </r>
    <r>
      <rPr>
        <b/>
        <sz val="11"/>
        <color rgb="FF1D22EF"/>
        <rFont val="Aptos Display"/>
        <family val="2"/>
        <scheme val="major"/>
      </rPr>
      <t>2</t>
    </r>
    <r>
      <rPr>
        <sz val="11"/>
        <color theme="1" tint="0.249977111117893"/>
        <rFont val="Aptos Display"/>
        <family val="2"/>
        <scheme val="major"/>
      </rPr>
      <t>ST4</t>
    </r>
  </si>
  <si>
    <r>
      <t>CLJ18030</t>
    </r>
    <r>
      <rPr>
        <b/>
        <sz val="11"/>
        <color rgb="FF1D22EF"/>
        <rFont val="Aptos Display"/>
        <family val="2"/>
        <scheme val="major"/>
      </rPr>
      <t>5</t>
    </r>
    <r>
      <rPr>
        <sz val="11"/>
        <color theme="1" tint="0.249977111117893"/>
        <rFont val="Aptos Display"/>
        <family val="2"/>
        <scheme val="major"/>
      </rPr>
      <t>FT3</t>
    </r>
  </si>
  <si>
    <r>
      <t>ECT24041</t>
    </r>
    <r>
      <rPr>
        <b/>
        <sz val="11"/>
        <color rgb="FF1D22EF"/>
        <rFont val="Aptos Display"/>
        <family val="2"/>
        <scheme val="major"/>
      </rPr>
      <t>2</t>
    </r>
    <r>
      <rPr>
        <sz val="11"/>
        <color theme="1" tint="0.249977111117893"/>
        <rFont val="Aptos Display"/>
        <family val="2"/>
        <scheme val="major"/>
      </rPr>
      <t>C14</t>
    </r>
  </si>
  <si>
    <r>
      <t>HDI09081</t>
    </r>
    <r>
      <rPr>
        <b/>
        <sz val="11"/>
        <color rgb="FF1D22EF"/>
        <rFont val="Aptos Display"/>
        <family val="2"/>
        <scheme val="major"/>
      </rPr>
      <t>8</t>
    </r>
    <r>
      <rPr>
        <sz val="11"/>
        <color theme="1" tint="0.249977111117893"/>
        <rFont val="Aptos Display"/>
        <family val="2"/>
        <scheme val="major"/>
      </rPr>
      <t>6N3</t>
    </r>
  </si>
  <si>
    <r>
      <t>PAB16032</t>
    </r>
    <r>
      <rPr>
        <b/>
        <sz val="11"/>
        <color rgb="FF1D22EF"/>
        <rFont val="Aptos Display"/>
        <family val="2"/>
        <scheme val="major"/>
      </rPr>
      <t>3</t>
    </r>
    <r>
      <rPr>
        <sz val="11"/>
        <color theme="1" tint="0.249977111117893"/>
        <rFont val="Aptos Display"/>
        <family val="2"/>
        <scheme val="major"/>
      </rPr>
      <t>KV9</t>
    </r>
  </si>
  <si>
    <r>
      <t>NTR06042</t>
    </r>
    <r>
      <rPr>
        <b/>
        <sz val="11"/>
        <color rgb="FF1D22EF"/>
        <rFont val="Aptos Display"/>
        <family val="2"/>
        <scheme val="major"/>
      </rPr>
      <t>5</t>
    </r>
    <r>
      <rPr>
        <sz val="11"/>
        <color theme="1" tint="0.249977111117893"/>
        <rFont val="Aptos Display"/>
        <family val="2"/>
        <scheme val="major"/>
      </rPr>
      <t>8K7</t>
    </r>
  </si>
  <si>
    <r>
      <t>BRB25041</t>
    </r>
    <r>
      <rPr>
        <b/>
        <sz val="11"/>
        <color rgb="FF1D22EF"/>
        <rFont val="Aptos Display"/>
        <family val="2"/>
        <scheme val="major"/>
      </rPr>
      <t>7</t>
    </r>
    <r>
      <rPr>
        <sz val="11"/>
        <color theme="1" tint="0.249977111117893"/>
        <rFont val="Aptos Display"/>
        <family val="2"/>
        <scheme val="major"/>
      </rPr>
      <t>IQ0</t>
    </r>
  </si>
  <si>
    <t>Educación en Ciberseguridad y tecnologia S de R.L de C.V.</t>
  </si>
  <si>
    <t>Fort Realty Firm S. A. de C. V. (Inmobiliaria)</t>
  </si>
  <si>
    <t>Grupo Inmobiliario del Noroeste Rubman S. A. de C. V.</t>
  </si>
  <si>
    <t>Marlo Internacional S. de R. L. de C. V.</t>
  </si>
  <si>
    <t>Ng Trucking S. de R. L. de C. V.</t>
  </si>
  <si>
    <t>Piping &amp; Boiler Specialists, Industria Electrica Internacional S. A. de C. V.</t>
  </si>
  <si>
    <t>CUMPLIENDO SUEÑOS BC A. C.</t>
  </si>
  <si>
    <t>Sintoniza sin Fronteras A. C.</t>
  </si>
  <si>
    <t xml:space="preserve">Brillemos Juntos A. C. </t>
  </si>
  <si>
    <t>Bpo220222</t>
  </si>
  <si>
    <t>jmkleimann@bajapoliplast.com</t>
  </si>
  <si>
    <t>confirmar con Nóminas ISR RET</t>
  </si>
  <si>
    <t>Junio</t>
  </si>
  <si>
    <t>Julio</t>
  </si>
  <si>
    <t>Agosto</t>
  </si>
  <si>
    <t>Septiembre</t>
  </si>
  <si>
    <t>Octubre</t>
  </si>
  <si>
    <t>Noviembre</t>
  </si>
  <si>
    <t>Diciembre</t>
  </si>
  <si>
    <r>
      <t xml:space="preserve">Juan Manuel Kliemann Rojas </t>
    </r>
    <r>
      <rPr>
        <sz val="11"/>
        <color theme="4" tint="-0.249977111117893"/>
        <rFont val="Aptos Display"/>
        <family val="2"/>
        <scheme val="major"/>
      </rPr>
      <t>(Socio Baja Poliplast)</t>
    </r>
  </si>
  <si>
    <r>
      <t>KERJ85122</t>
    </r>
    <r>
      <rPr>
        <b/>
        <sz val="11"/>
        <color rgb="FF1D22EF"/>
        <rFont val="Aptos Narrow"/>
        <family val="2"/>
        <scheme val="minor"/>
      </rPr>
      <t>8</t>
    </r>
    <r>
      <rPr>
        <sz val="11"/>
        <color theme="1" tint="0.249977111117893"/>
        <rFont val="Aptos Narrow"/>
        <family val="2"/>
        <scheme val="minor"/>
      </rPr>
      <t>BL3</t>
    </r>
  </si>
  <si>
    <t>jmkl2812</t>
  </si>
  <si>
    <t>Clientes Dennise Riv. 2025</t>
  </si>
  <si>
    <t>N/A</t>
  </si>
  <si>
    <r>
      <t xml:space="preserve">Julio Cesar Vasquez Borunda </t>
    </r>
    <r>
      <rPr>
        <sz val="11"/>
        <color theme="5" tint="-0.249977111117893"/>
        <rFont val="Aptos Display"/>
        <family val="2"/>
        <scheme val="major"/>
      </rPr>
      <t>(PBS)</t>
    </r>
  </si>
  <si>
    <t>x</t>
  </si>
  <si>
    <t>Mensualidades Pendientes</t>
  </si>
  <si>
    <t>A partir de Mayo se comenzo a cobrar</t>
  </si>
  <si>
    <t xml:space="preserve"> Cliente</t>
  </si>
  <si>
    <r>
      <t xml:space="preserve">Se Factura con </t>
    </r>
    <r>
      <rPr>
        <sz val="11"/>
        <color theme="9" tint="-0.249977111117893"/>
        <rFont val="Aptos Narrow"/>
        <family val="2"/>
        <scheme val="minor"/>
      </rPr>
      <t>Comercializadora</t>
    </r>
  </si>
  <si>
    <r>
      <t xml:space="preserve">Se cobran junto con </t>
    </r>
    <r>
      <rPr>
        <sz val="11"/>
        <color theme="5" tint="-0.249977111117893"/>
        <rFont val="Aptos Narrow"/>
        <family val="2"/>
        <scheme val="minor"/>
      </rPr>
      <t>PBS</t>
    </r>
  </si>
  <si>
    <t>Monto  Pendientes</t>
  </si>
  <si>
    <t>Periodo</t>
  </si>
  <si>
    <t>Año</t>
  </si>
  <si>
    <t>Notificación de Multa</t>
  </si>
  <si>
    <t>Folio de multa</t>
  </si>
  <si>
    <t>Monto de Multa</t>
  </si>
  <si>
    <t>Fecha de presentación</t>
  </si>
  <si>
    <t>Fecha de pago</t>
  </si>
  <si>
    <t>Responsabilidad</t>
  </si>
  <si>
    <t>Gastos de Ejecución</t>
  </si>
  <si>
    <t>Total de Multa</t>
  </si>
  <si>
    <t>Sin Importe a pagar</t>
  </si>
  <si>
    <t>Hdipermex</t>
  </si>
  <si>
    <t>Comentario</t>
  </si>
  <si>
    <t>No procederia ya que se declaro sin importe a pagar un día antes de ser notificados</t>
  </si>
  <si>
    <t>No se pago</t>
  </si>
  <si>
    <t>Comenzo como cliente en abril 2020, se presento complementaria de IVA en 0 y de ISR Ret. x Sueldos se emitio nueva línea de Captura.</t>
  </si>
  <si>
    <t>Mayo</t>
  </si>
  <si>
    <t>BT / Hdipermex</t>
  </si>
  <si>
    <t>Impuesto</t>
  </si>
  <si>
    <t>ISR Ret. SS, IVA</t>
  </si>
  <si>
    <t>ISR PM, ISR Ret. SS, IVA PM</t>
  </si>
  <si>
    <t xml:space="preserve">Se presento el mismo día que se les notifico y se pago un día despues </t>
  </si>
  <si>
    <t>FACTURAR PUBLICO EN GENERAL DEACUERDO A ESTADO DE CUENTA</t>
  </si>
  <si>
    <t>Calculo para Utilidad Deseada</t>
  </si>
  <si>
    <t>Ingresos</t>
  </si>
  <si>
    <t>Utilidad deseada</t>
  </si>
  <si>
    <t>Gatos deseados</t>
  </si>
  <si>
    <t>Gastos "reales"</t>
  </si>
  <si>
    <t>Lo que real se tiene</t>
  </si>
  <si>
    <t>x el % de utilidad</t>
  </si>
  <si>
    <t>Dif. Entre los ingresos y la Ut. Deseada</t>
  </si>
  <si>
    <t xml:space="preserve">Gastos faltantes </t>
  </si>
  <si>
    <t xml:space="preserve">. </t>
  </si>
  <si>
    <t>Enrique Martinez Lomeli</t>
  </si>
  <si>
    <t>pasteles</t>
  </si>
  <si>
    <t>664 406 7735</t>
  </si>
  <si>
    <t>Parapastelestodootay@gmail.com</t>
  </si>
  <si>
    <r>
      <t>MALE89050</t>
    </r>
    <r>
      <rPr>
        <b/>
        <sz val="11"/>
        <color rgb="FF0E12C2"/>
        <rFont val="Aptos Display"/>
        <family val="2"/>
        <scheme val="major"/>
      </rPr>
      <t>2</t>
    </r>
    <r>
      <rPr>
        <sz val="11"/>
        <color theme="1" tint="0.249977111117893"/>
        <rFont val="Aptos Display"/>
        <family val="2"/>
        <scheme val="major"/>
      </rPr>
      <t>PR7</t>
    </r>
  </si>
  <si>
    <r>
      <t>PAR22052</t>
    </r>
    <r>
      <rPr>
        <b/>
        <sz val="11"/>
        <color rgb="FF1D22E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6H0</t>
    </r>
  </si>
  <si>
    <t xml:space="preserve">Alta Reposteria Pistacho S.A. de C.V </t>
  </si>
  <si>
    <t xml:space="preserve">Proveedora de Alta Reposteria S.A. de C.V </t>
  </si>
  <si>
    <r>
      <t>ARP22052</t>
    </r>
    <r>
      <rPr>
        <b/>
        <sz val="11"/>
        <color rgb="FF1D22E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5N5</t>
    </r>
  </si>
  <si>
    <t>Pasteles</t>
  </si>
  <si>
    <t>Pasteles 1</t>
  </si>
  <si>
    <t>Tj</t>
  </si>
  <si>
    <t>Tecate</t>
  </si>
  <si>
    <t>Factura una vez al año</t>
  </si>
  <si>
    <t>SIN MOVIMIENTOS</t>
  </si>
  <si>
    <t>Se factura deacuerdo a Edo. Cta Comercializadora</t>
  </si>
  <si>
    <t>Hdiperx3</t>
  </si>
  <si>
    <r>
      <t>CSB17101</t>
    </r>
    <r>
      <rPr>
        <b/>
        <sz val="11"/>
        <color rgb="FFFF0000"/>
        <rFont val="Aptos Narrow"/>
        <family val="2"/>
        <scheme val="minor"/>
      </rPr>
      <t>5</t>
    </r>
    <r>
      <rPr>
        <sz val="11"/>
        <color rgb="FFFF0000"/>
        <rFont val="Aptos Narrow"/>
        <family val="2"/>
        <scheme val="minor"/>
      </rPr>
      <t>V82</t>
    </r>
  </si>
  <si>
    <t>IVA</t>
  </si>
  <si>
    <t>Rep. Legal</t>
  </si>
  <si>
    <t>27 anril 2027</t>
  </si>
  <si>
    <t>DIOT/ IEPS</t>
  </si>
  <si>
    <t>Ejercicio</t>
  </si>
  <si>
    <t>Observación señala por SAT</t>
  </si>
  <si>
    <t>Observación atendida</t>
  </si>
  <si>
    <t xml:space="preserve">ISR Ret. por salarios y asimilados </t>
  </si>
  <si>
    <t>Omisión</t>
  </si>
  <si>
    <t>Pagada el día: 16 Julio 2025</t>
  </si>
  <si>
    <t>Presentada el día :15 Julio 2025</t>
  </si>
  <si>
    <t xml:space="preserve">IVA </t>
  </si>
  <si>
    <t>Inconsistencias en la presentación de declaración</t>
  </si>
  <si>
    <t>Retenciones de IVA</t>
  </si>
  <si>
    <t xml:space="preserve">Omisión </t>
  </si>
  <si>
    <t>Presentada el día: 13 Octubre 2025</t>
  </si>
  <si>
    <t>Pagada el día: 13 Octubre 2025</t>
  </si>
  <si>
    <t xml:space="preserve">Presente Complementaria el día: 28 Octubre 2025 </t>
  </si>
  <si>
    <t>Factura mensual de BajaPoliplast.</t>
  </si>
  <si>
    <t>Estatus Cedula</t>
  </si>
  <si>
    <t>Anual</t>
  </si>
  <si>
    <t xml:space="preserve">ISR </t>
  </si>
  <si>
    <t>Inconcisitencias</t>
  </si>
  <si>
    <t>Presentada el día: 21 Noviembre 2025                                 Pagada el día: 21 Noviembre 2025</t>
  </si>
  <si>
    <t>Faltan $329 pesos</t>
  </si>
  <si>
    <t xml:space="preserve">Alta Repostería Pistacho S.A. de C.V </t>
  </si>
  <si>
    <t xml:space="preserve">Proveedora de Alta Repostería S.A. de C.V </t>
  </si>
  <si>
    <t>Educación en Ciberseguridad y tecnología S de R.L de C.V.</t>
  </si>
  <si>
    <t>Envia transferencias de nóminas a la semana (Cluadio a Nóminas)</t>
  </si>
  <si>
    <t>Sean Grupo de Desarrolllos Inmobiliarios BC S.A. de C.V</t>
  </si>
  <si>
    <t>JHS Square Land Mexico (Julio Hernandez)</t>
  </si>
  <si>
    <t>tonym25x</t>
  </si>
  <si>
    <t>C0mercializad0ra</t>
  </si>
  <si>
    <t>aguacat3</t>
  </si>
  <si>
    <t>Bpo22022</t>
  </si>
  <si>
    <t>Julio_hn4@hotmail.com y Puntogabilondo@gmail.com</t>
  </si>
  <si>
    <t>JSL251014AE4</t>
  </si>
  <si>
    <t>Diablo1992</t>
  </si>
  <si>
    <t>SGD250710B46</t>
  </si>
  <si>
    <t>Ipyr</t>
  </si>
  <si>
    <t>en 0</t>
  </si>
  <si>
    <t>Conciliar</t>
  </si>
  <si>
    <t>Baja Poliplast S de R.L. de C.V.</t>
  </si>
  <si>
    <t xml:space="preserve"> (una parte de nov,y todo dic.)</t>
  </si>
  <si>
    <t>Aargon International Call Center Solutions S.A. de C.V.</t>
  </si>
  <si>
    <t xml:space="preserve"> </t>
  </si>
  <si>
    <t>Aargon Agency</t>
  </si>
  <si>
    <t xml:space="preserve">Ipyr </t>
  </si>
  <si>
    <t>NEVADA31</t>
  </si>
  <si>
    <t>T3mpp3ss</t>
  </si>
  <si>
    <t>F6m7r530</t>
  </si>
  <si>
    <t>F6m7r531</t>
  </si>
  <si>
    <t>Facturas123</t>
  </si>
  <si>
    <r>
      <t>AAC16081</t>
    </r>
    <r>
      <rPr>
        <b/>
        <sz val="11"/>
        <color rgb="FF1D22EF"/>
        <rFont val="Aptos Narrow"/>
        <family val="2"/>
        <scheme val="minor"/>
      </rPr>
      <t>6</t>
    </r>
    <r>
      <rPr>
        <sz val="11"/>
        <color theme="1" tint="0.14999847407452621"/>
        <rFont val="Aptos Narrow"/>
        <family val="2"/>
        <scheme val="minor"/>
      </rPr>
      <t>7I1</t>
    </r>
  </si>
  <si>
    <r>
      <t>AIC20110</t>
    </r>
    <r>
      <rPr>
        <b/>
        <sz val="11"/>
        <color rgb="FF1D22EF"/>
        <rFont val="Aptos Narrow"/>
        <family val="2"/>
        <scheme val="minor"/>
      </rPr>
      <t>9</t>
    </r>
    <r>
      <rPr>
        <sz val="11"/>
        <color theme="1" tint="0.249977111117893"/>
        <rFont val="Aptos Narrow"/>
        <family val="2"/>
        <scheme val="minor"/>
      </rPr>
      <t>3W6</t>
    </r>
  </si>
  <si>
    <r>
      <t>IES14022</t>
    </r>
    <r>
      <rPr>
        <b/>
        <sz val="11"/>
        <color rgb="FF1D22EF"/>
        <rFont val="Aptos Narrow"/>
        <family val="2"/>
        <scheme val="minor"/>
      </rPr>
      <t>0</t>
    </r>
    <r>
      <rPr>
        <sz val="11"/>
        <color theme="1" tint="0.14999847407452621"/>
        <rFont val="Aptos Narrow"/>
        <family val="2"/>
        <scheme val="minor"/>
      </rPr>
      <t>197</t>
    </r>
  </si>
  <si>
    <t xml:space="preserve"> Aargon Agency Corporation de Mexico S de RL de CV (Call Center)</t>
  </si>
  <si>
    <t xml:space="preserve"> Aargon International Call Center Solutions SA de CV (APEX)</t>
  </si>
  <si>
    <t>Admin@ipyr.mx</t>
  </si>
  <si>
    <t xml:space="preserve">Colegio de Anestesiólogos de Tijuana Dr Benigno Miranda Gómez A.C. </t>
  </si>
  <si>
    <t>QUEDO PENDIENTE ISR</t>
  </si>
  <si>
    <t>2 (Octubre, noviembre y diciembre, enero )</t>
  </si>
  <si>
    <t xml:space="preserve">humberto@aargon.com </t>
  </si>
  <si>
    <t>PIDE COEFICIENTE DE UTILIDAD</t>
  </si>
  <si>
    <t>Juan Manuel Kliemann Rojas (Socio Baja Poliplast)</t>
  </si>
  <si>
    <r>
      <t xml:space="preserve">Javier Hernandez Valencia </t>
    </r>
    <r>
      <rPr>
        <sz val="12"/>
        <color rgb="FFFF0000"/>
        <rFont val="Aptos Narrow"/>
        <family val="2"/>
        <scheme val="minor"/>
      </rPr>
      <t>(BajaPoliplast)</t>
    </r>
  </si>
  <si>
    <t>Javier Hernandez Valencia (Baja Poliplast)</t>
  </si>
  <si>
    <t>Se facturara con BajaPoliplast</t>
  </si>
  <si>
    <t xml:space="preserve">Febrero </t>
  </si>
  <si>
    <t xml:space="preserve">Marzo </t>
  </si>
  <si>
    <t>ANUAL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</si>
</sst>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4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rial"/>
      <family val="2"/>
    </font>
    <font>
      <sz val="11"/>
      <color theme="1" tint="0.249977111117893"/>
      <name val="Aptos Display"/>
      <family val="2"/>
      <scheme val="major"/>
    </font>
    <font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sz val="8"/>
      <color rgb="FF000000"/>
      <name val="Arial"/>
      <family val="2"/>
    </font>
    <font>
      <sz val="11"/>
      <color theme="1" tint="0.249977111117893"/>
      <name val="Aptos Narrow"/>
      <family val="2"/>
      <scheme val="minor"/>
    </font>
    <font>
      <sz val="12"/>
      <color theme="1" tint="0.249977111117893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rgb="FF0000FF"/>
      <name val="Aptos Display"/>
      <family val="2"/>
      <scheme val="major"/>
    </font>
    <font>
      <u/>
      <sz val="11"/>
      <color theme="10"/>
      <name val="Arial"/>
      <family val="2"/>
    </font>
    <font>
      <sz val="12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9"/>
      <color indexed="81"/>
      <name val="Tahoma"/>
      <family val="2"/>
    </font>
    <font>
      <sz val="11"/>
      <color theme="5" tint="-0.249977111117893"/>
      <name val="Aptos Display"/>
      <family val="2"/>
      <scheme val="major"/>
    </font>
    <font>
      <sz val="12"/>
      <color theme="4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1D22EF"/>
      <name val="Aptos Narrow"/>
      <family val="2"/>
      <scheme val="minor"/>
    </font>
    <font>
      <b/>
      <sz val="11"/>
      <color rgb="FF1D22EF"/>
      <name val="Aptos Display"/>
      <family val="2"/>
      <scheme val="major"/>
    </font>
    <font>
      <b/>
      <sz val="11"/>
      <color rgb="FFFF0000"/>
      <name val="Aptos Narrow"/>
      <family val="2"/>
      <scheme val="minor"/>
    </font>
    <font>
      <sz val="11"/>
      <color theme="4" tint="-0.249977111117893"/>
      <name val="Aptos Display"/>
      <family val="2"/>
      <scheme val="major"/>
    </font>
    <font>
      <u/>
      <sz val="11"/>
      <color theme="7" tint="-0.249977111117893"/>
      <name val="Arial"/>
      <family val="2"/>
    </font>
    <font>
      <sz val="14"/>
      <color theme="1"/>
      <name val="Bahnschrift Light SemiCondensed"/>
      <family val="2"/>
    </font>
    <font>
      <sz val="10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0E12C2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u/>
      <sz val="11"/>
      <color rgb="FFFF0000"/>
      <name val="Arial"/>
      <family val="2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D2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u/>
      <sz val="11"/>
      <color theme="8"/>
      <name val="Aptos Narrow"/>
      <family val="2"/>
      <scheme val="minor"/>
    </font>
    <font>
      <sz val="11"/>
      <color theme="0"/>
      <name val="Century Gothic"/>
      <family val="2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B85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64">
    <xf numFmtId="0" fontId="0" fillId="0" borderId="0" xfId="0"/>
    <xf numFmtId="0" fontId="2" fillId="0" borderId="5" xfId="0" applyFont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2" borderId="9" xfId="1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8" fillId="0" borderId="9" xfId="0" applyFont="1" applyBorder="1"/>
    <xf numFmtId="0" fontId="9" fillId="0" borderId="0" xfId="0" applyFont="1" applyAlignment="1">
      <alignment horizontal="left"/>
    </xf>
    <xf numFmtId="0" fontId="8" fillId="0" borderId="11" xfId="0" applyFont="1" applyBorder="1"/>
    <xf numFmtId="0" fontId="9" fillId="0" borderId="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left" wrapText="1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10" fillId="6" borderId="1" xfId="1" applyFont="1" applyFill="1" applyBorder="1" applyAlignment="1">
      <alignment horizontal="center"/>
    </xf>
    <xf numFmtId="0" fontId="10" fillId="6" borderId="4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14" xfId="0" applyBorder="1"/>
    <xf numFmtId="0" fontId="0" fillId="0" borderId="10" xfId="0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2" xfId="0" applyBorder="1"/>
    <xf numFmtId="0" fontId="0" fillId="0" borderId="8" xfId="0" applyBorder="1"/>
    <xf numFmtId="0" fontId="0" fillId="3" borderId="14" xfId="0" applyFill="1" applyBorder="1"/>
    <xf numFmtId="0" fontId="0" fillId="11" borderId="14" xfId="0" applyFill="1" applyBorder="1"/>
    <xf numFmtId="0" fontId="0" fillId="4" borderId="14" xfId="0" applyFill="1" applyBorder="1"/>
    <xf numFmtId="0" fontId="0" fillId="0" borderId="15" xfId="0" applyBorder="1"/>
    <xf numFmtId="0" fontId="0" fillId="0" borderId="13" xfId="0" applyBorder="1"/>
    <xf numFmtId="0" fontId="2" fillId="0" borderId="0" xfId="0" applyFont="1" applyAlignment="1">
      <alignment horizontal="left" wrapText="1"/>
    </xf>
    <xf numFmtId="0" fontId="9" fillId="4" borderId="14" xfId="0" applyFont="1" applyFill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3" applyFont="1" applyFill="1" applyBorder="1" applyAlignment="1">
      <alignment horizontal="left"/>
    </xf>
    <xf numFmtId="0" fontId="4" fillId="0" borderId="14" xfId="3" applyFont="1" applyFill="1" applyBorder="1" applyAlignment="1">
      <alignment horizontal="left"/>
    </xf>
    <xf numFmtId="0" fontId="10" fillId="7" borderId="2" xfId="1" applyFont="1" applyFill="1" applyBorder="1" applyAlignment="1">
      <alignment horizontal="center"/>
    </xf>
    <xf numFmtId="0" fontId="2" fillId="7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5" fillId="2" borderId="1" xfId="1" applyFont="1" applyBorder="1" applyAlignment="1">
      <alignment horizontal="center" vertical="center"/>
    </xf>
    <xf numFmtId="0" fontId="19" fillId="0" borderId="14" xfId="0" applyFont="1" applyBorder="1"/>
    <xf numFmtId="0" fontId="0" fillId="9" borderId="15" xfId="0" applyFill="1" applyBorder="1"/>
    <xf numFmtId="0" fontId="0" fillId="9" borderId="14" xfId="0" applyFill="1" applyBorder="1"/>
    <xf numFmtId="0" fontId="18" fillId="9" borderId="14" xfId="0" applyFont="1" applyFill="1" applyBorder="1"/>
    <xf numFmtId="0" fontId="11" fillId="0" borderId="14" xfId="3" applyFont="1" applyFill="1" applyBorder="1" applyAlignment="1">
      <alignment horizontal="left"/>
    </xf>
    <xf numFmtId="0" fontId="23" fillId="0" borderId="15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5" fillId="0" borderId="14" xfId="1" applyFont="1" applyFill="1" applyBorder="1" applyAlignment="1">
      <alignment horizontal="center" vertical="center"/>
    </xf>
    <xf numFmtId="0" fontId="5" fillId="13" borderId="14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15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14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/>
    </xf>
    <xf numFmtId="0" fontId="0" fillId="0" borderId="9" xfId="0" applyBorder="1"/>
    <xf numFmtId="0" fontId="18" fillId="12" borderId="9" xfId="0" applyFont="1" applyFill="1" applyBorder="1" applyAlignment="1">
      <alignment horizontal="left"/>
    </xf>
    <xf numFmtId="0" fontId="18" fillId="12" borderId="11" xfId="0" applyFont="1" applyFill="1" applyBorder="1" applyAlignment="1">
      <alignment horizontal="left"/>
    </xf>
    <xf numFmtId="17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10" borderId="14" xfId="0" applyFill="1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5" xfId="0" applyBorder="1"/>
    <xf numFmtId="17" fontId="0" fillId="7" borderId="1" xfId="0" applyNumberFormat="1" applyFill="1" applyBorder="1" applyAlignment="1">
      <alignment horizontal="center" wrapText="1"/>
    </xf>
    <xf numFmtId="0" fontId="2" fillId="0" borderId="1" xfId="0" applyFont="1" applyBorder="1"/>
    <xf numFmtId="0" fontId="5" fillId="10" borderId="1" xfId="1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/>
    </xf>
    <xf numFmtId="0" fontId="5" fillId="2" borderId="14" xfId="1" applyFont="1" applyBorder="1" applyAlignment="1">
      <alignment horizontal="center" vertical="center"/>
    </xf>
    <xf numFmtId="0" fontId="9" fillId="4" borderId="9" xfId="0" applyFont="1" applyFill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1" xfId="0" applyBorder="1"/>
    <xf numFmtId="0" fontId="14" fillId="0" borderId="12" xfId="0" applyFont="1" applyBorder="1" applyAlignment="1">
      <alignment horizontal="left" vertical="center"/>
    </xf>
    <xf numFmtId="0" fontId="23" fillId="9" borderId="12" xfId="0" applyFont="1" applyFill="1" applyBorder="1" applyAlignment="1">
      <alignment horizontal="center"/>
    </xf>
    <xf numFmtId="0" fontId="28" fillId="4" borderId="1" xfId="1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left"/>
    </xf>
    <xf numFmtId="0" fontId="3" fillId="14" borderId="14" xfId="0" applyFont="1" applyFill="1" applyBorder="1" applyAlignment="1">
      <alignment horizontal="left"/>
    </xf>
    <xf numFmtId="0" fontId="3" fillId="14" borderId="10" xfId="0" applyFont="1" applyFill="1" applyBorder="1" applyAlignment="1">
      <alignment horizontal="left"/>
    </xf>
    <xf numFmtId="0" fontId="0" fillId="15" borderId="14" xfId="0" applyFill="1" applyBorder="1"/>
    <xf numFmtId="0" fontId="0" fillId="16" borderId="14" xfId="0" applyFill="1" applyBorder="1"/>
    <xf numFmtId="0" fontId="9" fillId="15" borderId="14" xfId="0" applyFont="1" applyFill="1" applyBorder="1" applyAlignment="1">
      <alignment horizontal="left"/>
    </xf>
    <xf numFmtId="0" fontId="9" fillId="15" borderId="9" xfId="0" applyFont="1" applyFill="1" applyBorder="1" applyAlignment="1">
      <alignment horizontal="left"/>
    </xf>
    <xf numFmtId="0" fontId="0" fillId="17" borderId="15" xfId="0" applyFill="1" applyBorder="1"/>
    <xf numFmtId="0" fontId="0" fillId="17" borderId="14" xfId="0" applyFill="1" applyBorder="1"/>
    <xf numFmtId="0" fontId="18" fillId="17" borderId="14" xfId="0" applyFont="1" applyFill="1" applyBorder="1"/>
    <xf numFmtId="0" fontId="0" fillId="19" borderId="14" xfId="0" applyFill="1" applyBorder="1"/>
    <xf numFmtId="0" fontId="31" fillId="0" borderId="0" xfId="0" applyFont="1"/>
    <xf numFmtId="0" fontId="5" fillId="2" borderId="13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18" fillId="17" borderId="9" xfId="0" applyFont="1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18" fillId="18" borderId="9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44" fontId="0" fillId="0" borderId="0" xfId="4" applyFont="1"/>
    <xf numFmtId="0" fontId="0" fillId="0" borderId="15" xfId="0" applyBorder="1" applyAlignment="1">
      <alignment horizontal="center"/>
    </xf>
    <xf numFmtId="0" fontId="0" fillId="14" borderId="1" xfId="0" applyFill="1" applyBorder="1" applyAlignment="1">
      <alignment horizontal="center" wrapText="1"/>
    </xf>
    <xf numFmtId="0" fontId="0" fillId="14" borderId="2" xfId="0" applyFill="1" applyBorder="1" applyAlignment="1">
      <alignment horizontal="center" wrapText="1"/>
    </xf>
    <xf numFmtId="8" fontId="0" fillId="0" borderId="0" xfId="0" applyNumberFormat="1"/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0" fillId="21" borderId="1" xfId="0" applyFill="1" applyBorder="1" applyAlignment="1">
      <alignment horizontal="left" wrapText="1"/>
    </xf>
    <xf numFmtId="14" fontId="0" fillId="21" borderId="1" xfId="0" applyNumberFormat="1" applyFill="1" applyBorder="1" applyAlignment="1">
      <alignment horizontal="center"/>
    </xf>
    <xf numFmtId="8" fontId="0" fillId="21" borderId="1" xfId="0" applyNumberFormat="1" applyFill="1" applyBorder="1" applyAlignment="1">
      <alignment horizontal="center"/>
    </xf>
    <xf numFmtId="0" fontId="0" fillId="21" borderId="1" xfId="0" applyFill="1" applyBorder="1" applyAlignment="1">
      <alignment wrapText="1"/>
    </xf>
    <xf numFmtId="0" fontId="0" fillId="14" borderId="1" xfId="0" applyFill="1" applyBorder="1"/>
    <xf numFmtId="0" fontId="0" fillId="14" borderId="1" xfId="0" applyFill="1" applyBorder="1" applyAlignment="1">
      <alignment horizontal="left" wrapText="1"/>
    </xf>
    <xf numFmtId="14" fontId="0" fillId="14" borderId="1" xfId="0" applyNumberFormat="1" applyFill="1" applyBorder="1" applyAlignment="1">
      <alignment horizontal="center"/>
    </xf>
    <xf numFmtId="8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wrapText="1"/>
    </xf>
    <xf numFmtId="0" fontId="5" fillId="2" borderId="0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2" fillId="0" borderId="9" xfId="0" applyFont="1" applyBorder="1" applyAlignment="1">
      <alignment horizontal="left" vertical="center"/>
    </xf>
    <xf numFmtId="0" fontId="0" fillId="15" borderId="9" xfId="0" applyFill="1" applyBorder="1"/>
    <xf numFmtId="0" fontId="5" fillId="13" borderId="0" xfId="1" applyFont="1" applyFill="1" applyBorder="1" applyAlignment="1">
      <alignment horizontal="center" vertical="center"/>
    </xf>
    <xf numFmtId="0" fontId="5" fillId="10" borderId="0" xfId="1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right"/>
    </xf>
    <xf numFmtId="9" fontId="3" fillId="0" borderId="14" xfId="0" applyNumberFormat="1" applyFont="1" applyBorder="1" applyAlignment="1">
      <alignment horizontal="right"/>
    </xf>
    <xf numFmtId="9" fontId="0" fillId="0" borderId="14" xfId="2" applyFont="1" applyBorder="1" applyAlignment="1">
      <alignment horizontal="right"/>
    </xf>
    <xf numFmtId="0" fontId="18" fillId="18" borderId="9" xfId="0" applyFont="1" applyFill="1" applyBorder="1" applyAlignment="1">
      <alignment horizontal="left"/>
    </xf>
    <xf numFmtId="0" fontId="5" fillId="13" borderId="10" xfId="1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left"/>
    </xf>
    <xf numFmtId="44" fontId="0" fillId="0" borderId="1" xfId="4" applyFont="1" applyBorder="1"/>
    <xf numFmtId="44" fontId="0" fillId="22" borderId="0" xfId="0" applyNumberFormat="1" applyFill="1"/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3" borderId="0" xfId="0" applyFont="1" applyFill="1" applyAlignment="1">
      <alignment horizontal="center"/>
    </xf>
    <xf numFmtId="0" fontId="5" fillId="2" borderId="4" xfId="1" applyFont="1" applyBorder="1" applyAlignment="1">
      <alignment horizontal="center" vertical="center"/>
    </xf>
    <xf numFmtId="0" fontId="19" fillId="0" borderId="8" xfId="0" applyFont="1" applyBorder="1"/>
    <xf numFmtId="0" fontId="5" fillId="2" borderId="12" xfId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23" fillId="14" borderId="10" xfId="0" applyFont="1" applyFill="1" applyBorder="1" applyAlignment="1">
      <alignment horizontal="left"/>
    </xf>
    <xf numFmtId="0" fontId="35" fillId="14" borderId="14" xfId="0" applyFont="1" applyFill="1" applyBorder="1" applyAlignment="1">
      <alignment horizontal="left"/>
    </xf>
    <xf numFmtId="0" fontId="23" fillId="0" borderId="10" xfId="0" applyFont="1" applyBorder="1"/>
    <xf numFmtId="0" fontId="23" fillId="0" borderId="14" xfId="0" applyFont="1" applyBorder="1"/>
    <xf numFmtId="14" fontId="23" fillId="0" borderId="1" xfId="0" applyNumberFormat="1" applyFont="1" applyBorder="1" applyAlignment="1">
      <alignment horizontal="center"/>
    </xf>
    <xf numFmtId="0" fontId="23" fillId="0" borderId="0" xfId="0" applyFont="1"/>
    <xf numFmtId="0" fontId="28" fillId="2" borderId="14" xfId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9" fontId="0" fillId="0" borderId="10" xfId="0" applyNumberFormat="1" applyBorder="1" applyAlignment="1">
      <alignment horizontal="right"/>
    </xf>
    <xf numFmtId="9" fontId="3" fillId="0" borderId="10" xfId="0" applyNumberFormat="1" applyFont="1" applyBorder="1" applyAlignment="1">
      <alignment horizontal="right"/>
    </xf>
    <xf numFmtId="0" fontId="23" fillId="0" borderId="13" xfId="0" applyFont="1" applyBorder="1" applyAlignment="1">
      <alignment horizontal="center"/>
    </xf>
    <xf numFmtId="9" fontId="0" fillId="0" borderId="10" xfId="0" applyNumberFormat="1" applyBorder="1"/>
    <xf numFmtId="44" fontId="0" fillId="0" borderId="14" xfId="4" applyFont="1" applyBorder="1"/>
    <xf numFmtId="0" fontId="6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0" fillId="6" borderId="2" xfId="1" applyFont="1" applyFill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8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5" fontId="0" fillId="0" borderId="13" xfId="0" applyNumberFormat="1" applyBorder="1" applyAlignment="1">
      <alignment horizontal="center"/>
    </xf>
    <xf numFmtId="15" fontId="0" fillId="0" borderId="12" xfId="0" applyNumberFormat="1" applyBorder="1" applyAlignment="1">
      <alignment horizontal="center"/>
    </xf>
    <xf numFmtId="0" fontId="0" fillId="17" borderId="15" xfId="0" applyFill="1" applyBorder="1" applyAlignment="1">
      <alignment wrapText="1"/>
    </xf>
    <xf numFmtId="44" fontId="0" fillId="0" borderId="0" xfId="4" applyFont="1" applyBorder="1"/>
    <xf numFmtId="0" fontId="5" fillId="2" borderId="10" xfId="1" applyFont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37" fillId="24" borderId="1" xfId="0" applyFont="1" applyFill="1" applyBorder="1" applyAlignment="1">
      <alignment horizontal="center"/>
    </xf>
    <xf numFmtId="0" fontId="37" fillId="24" borderId="4" xfId="0" applyFont="1" applyFill="1" applyBorder="1" applyAlignment="1">
      <alignment horizontal="center"/>
    </xf>
    <xf numFmtId="0" fontId="38" fillId="25" borderId="0" xfId="1" applyFont="1" applyFill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44" fontId="0" fillId="0" borderId="13" xfId="4" applyFont="1" applyBorder="1"/>
    <xf numFmtId="0" fontId="39" fillId="0" borderId="13" xfId="0" applyFont="1" applyBorder="1" applyAlignment="1">
      <alignment horizontal="center"/>
    </xf>
    <xf numFmtId="0" fontId="5" fillId="2" borderId="14" xfId="1" applyFont="1" applyBorder="1" applyAlignment="1">
      <alignment horizontal="left" vertical="center"/>
    </xf>
    <xf numFmtId="0" fontId="35" fillId="11" borderId="10" xfId="0" applyFont="1" applyFill="1" applyBorder="1" applyAlignment="1">
      <alignment horizontal="left"/>
    </xf>
    <xf numFmtId="49" fontId="3" fillId="11" borderId="10" xfId="4" applyNumberFormat="1" applyFont="1" applyFill="1" applyBorder="1" applyAlignment="1">
      <alignment horizontal="left"/>
    </xf>
    <xf numFmtId="0" fontId="30" fillId="12" borderId="15" xfId="3" applyFont="1" applyFill="1" applyBorder="1" applyAlignment="1">
      <alignment horizontal="left"/>
    </xf>
    <xf numFmtId="0" fontId="30" fillId="12" borderId="14" xfId="3" applyFont="1" applyFill="1" applyBorder="1" applyAlignment="1">
      <alignment horizontal="left"/>
    </xf>
    <xf numFmtId="0" fontId="36" fillId="12" borderId="14" xfId="3" applyFont="1" applyFill="1" applyBorder="1" applyAlignment="1">
      <alignment horizontal="left"/>
    </xf>
    <xf numFmtId="0" fontId="5" fillId="26" borderId="14" xfId="1" applyFont="1" applyFill="1" applyBorder="1" applyAlignment="1">
      <alignment horizontal="center" vertical="center"/>
    </xf>
    <xf numFmtId="0" fontId="5" fillId="13" borderId="9" xfId="1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14" fontId="0" fillId="0" borderId="15" xfId="0" applyNumberFormat="1" applyBorder="1" applyAlignment="1">
      <alignment horizontal="center"/>
    </xf>
    <xf numFmtId="0" fontId="5" fillId="2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4" fontId="0" fillId="0" borderId="0" xfId="4" applyFont="1" applyFill="1" applyBorder="1"/>
    <xf numFmtId="9" fontId="0" fillId="0" borderId="0" xfId="0" applyNumberFormat="1" applyAlignment="1">
      <alignment horizontal="center"/>
    </xf>
    <xf numFmtId="44" fontId="23" fillId="0" borderId="0" xfId="4" applyFont="1" applyFill="1" applyBorder="1"/>
    <xf numFmtId="0" fontId="3" fillId="5" borderId="0" xfId="0" applyFont="1" applyFill="1" applyAlignment="1">
      <alignment horizontal="left"/>
    </xf>
    <xf numFmtId="44" fontId="0" fillId="0" borderId="15" xfId="4" applyFont="1" applyBorder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0" fillId="4" borderId="1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7" fillId="27" borderId="11" xfId="0" applyFont="1" applyFill="1" applyBorder="1" applyAlignment="1">
      <alignment horizontal="center"/>
    </xf>
    <xf numFmtId="0" fontId="37" fillId="27" borderId="5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2" fillId="10" borderId="8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3" fillId="5" borderId="2" xfId="0" applyFont="1" applyFill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/>
    <xf numFmtId="0" fontId="0" fillId="0" borderId="14" xfId="0" applyFill="1" applyBorder="1"/>
    <xf numFmtId="0" fontId="0" fillId="0" borderId="10" xfId="0" applyFill="1" applyBorder="1"/>
    <xf numFmtId="0" fontId="0" fillId="0" borderId="12" xfId="0" applyFill="1" applyBorder="1"/>
    <xf numFmtId="0" fontId="23" fillId="0" borderId="15" xfId="0" applyFont="1" applyBorder="1"/>
    <xf numFmtId="0" fontId="23" fillId="20" borderId="14" xfId="0" applyFont="1" applyFill="1" applyBorder="1"/>
    <xf numFmtId="0" fontId="23" fillId="0" borderId="14" xfId="0" applyFont="1" applyFill="1" applyBorder="1"/>
    <xf numFmtId="0" fontId="23" fillId="10" borderId="14" xfId="0" applyFont="1" applyFill="1" applyBorder="1"/>
    <xf numFmtId="0" fontId="23" fillId="0" borderId="9" xfId="0" applyFont="1" applyBorder="1"/>
    <xf numFmtId="0" fontId="23" fillId="0" borderId="6" xfId="0" applyFont="1" applyBorder="1"/>
    <xf numFmtId="0" fontId="28" fillId="2" borderId="4" xfId="1" applyFont="1" applyBorder="1" applyAlignment="1">
      <alignment horizontal="center" vertical="center"/>
    </xf>
    <xf numFmtId="0" fontId="28" fillId="2" borderId="1" xfId="1" applyFont="1" applyBorder="1" applyAlignment="1">
      <alignment horizontal="center" vertical="center"/>
    </xf>
    <xf numFmtId="16" fontId="28" fillId="2" borderId="1" xfId="1" applyNumberFormat="1" applyFont="1" applyBorder="1" applyAlignment="1">
      <alignment horizontal="center" vertical="center"/>
    </xf>
    <xf numFmtId="0" fontId="23" fillId="0" borderId="3" xfId="0" applyFont="1" applyBorder="1"/>
    <xf numFmtId="0" fontId="23" fillId="0" borderId="4" xfId="0" applyFont="1" applyBorder="1"/>
    <xf numFmtId="0" fontId="33" fillId="0" borderId="14" xfId="0" applyFont="1" applyFill="1" applyBorder="1" applyAlignment="1">
      <alignment horizontal="left" vertical="center"/>
    </xf>
    <xf numFmtId="0" fontId="23" fillId="0" borderId="12" xfId="0" applyFont="1" applyBorder="1"/>
    <xf numFmtId="0" fontId="44" fillId="28" borderId="0" xfId="0" applyFont="1" applyFill="1"/>
    <xf numFmtId="17" fontId="44" fillId="28" borderId="0" xfId="0" applyNumberFormat="1" applyFont="1" applyFill="1" applyAlignment="1">
      <alignment horizontal="center"/>
    </xf>
    <xf numFmtId="0" fontId="44" fillId="28" borderId="0" xfId="0" applyFont="1" applyFill="1" applyAlignment="1">
      <alignment horizontal="center"/>
    </xf>
    <xf numFmtId="17" fontId="44" fillId="28" borderId="0" xfId="0" applyNumberFormat="1" applyFont="1" applyFill="1" applyAlignment="1">
      <alignment horizontal="center" wrapText="1"/>
    </xf>
    <xf numFmtId="0" fontId="44" fillId="28" borderId="0" xfId="0" applyFont="1" applyFill="1" applyAlignment="1">
      <alignment horizontal="center" wrapText="1"/>
    </xf>
    <xf numFmtId="0" fontId="37" fillId="28" borderId="0" xfId="0" applyFont="1" applyFill="1"/>
    <xf numFmtId="0" fontId="44" fillId="28" borderId="0" xfId="0" applyFont="1" applyFill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15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42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2" fillId="0" borderId="12" xfId="0" applyFont="1" applyBorder="1" applyAlignment="1">
      <alignment horizontal="left"/>
    </xf>
    <xf numFmtId="0" fontId="30" fillId="12" borderId="10" xfId="3" applyFont="1" applyFill="1" applyBorder="1" applyAlignment="1">
      <alignment horizontal="left"/>
    </xf>
    <xf numFmtId="0" fontId="13" fillId="12" borderId="10" xfId="3" applyFill="1" applyBorder="1" applyAlignment="1">
      <alignment horizontal="left"/>
    </xf>
    <xf numFmtId="0" fontId="13" fillId="0" borderId="10" xfId="3" applyBorder="1" applyAlignment="1" applyProtection="1">
      <alignment horizontal="left"/>
    </xf>
    <xf numFmtId="0" fontId="43" fillId="0" borderId="12" xfId="3" applyFont="1" applyBorder="1" applyAlignment="1" applyProtection="1">
      <alignment horizontal="left"/>
    </xf>
  </cellXfs>
  <cellStyles count="5">
    <cellStyle name="Bueno" xfId="1" builtinId="26"/>
    <cellStyle name="Hipervínculo" xfId="3" builtinId="8"/>
    <cellStyle name="Moneda" xfId="4" builtinId="4"/>
    <cellStyle name="Normal" xfId="0" builtinId="0"/>
    <cellStyle name="Porcentaje" xfId="2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22EF"/>
      <color rgb="FFD20000"/>
      <color rgb="FFEB8585"/>
      <color rgb="FFF24848"/>
      <color rgb="FFFF5D5D"/>
      <color rgb="FFA7CEA0"/>
      <color rgb="FF0E1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16249</xdr:rowOff>
    </xdr:from>
    <xdr:to>
      <xdr:col>5</xdr:col>
      <xdr:colOff>641538</xdr:colOff>
      <xdr:row>34</xdr:row>
      <xdr:rowOff>114299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AB9604-832C-5B6B-E01D-36D37890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197224"/>
          <a:ext cx="4629150" cy="6070225"/>
        </a:xfrm>
        <a:prstGeom prst="rect">
          <a:avLst/>
        </a:prstGeom>
      </xdr:spPr>
    </xdr:pic>
    <xdr:clientData/>
  </xdr:twoCellAnchor>
  <xdr:twoCellAnchor editAs="oneCell">
    <xdr:from>
      <xdr:col>6</xdr:col>
      <xdr:colOff>39464</xdr:colOff>
      <xdr:row>1</xdr:row>
      <xdr:rowOff>32644</xdr:rowOff>
    </xdr:from>
    <xdr:to>
      <xdr:col>14</xdr:col>
      <xdr:colOff>408155</xdr:colOff>
      <xdr:row>36</xdr:row>
      <xdr:rowOff>112178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306F4-C74F-E53A-CC71-AFA702B5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2111" y="211938"/>
          <a:ext cx="7092221" cy="6354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niendosuenosbc@gmail.com" TargetMode="External"/><Relationship Id="rId13" Type="http://schemas.openxmlformats.org/officeDocument/2006/relationships/hyperlink" Target="mailto:x10n8014@gmail.com" TargetMode="External"/><Relationship Id="rId18" Type="http://schemas.openxmlformats.org/officeDocument/2006/relationships/hyperlink" Target="mailto:e.ching@brijac.com.mx" TargetMode="External"/><Relationship Id="rId26" Type="http://schemas.openxmlformats.org/officeDocument/2006/relationships/hyperlink" Target="mailto:humberto@aargon.com%20" TargetMode="External"/><Relationship Id="rId3" Type="http://schemas.openxmlformats.org/officeDocument/2006/relationships/hyperlink" Target="mailto:sintonizasinfronteras@gmail.com" TargetMode="External"/><Relationship Id="rId21" Type="http://schemas.openxmlformats.org/officeDocument/2006/relationships/hyperlink" Target="mailto:Parapastelestodootay@gmail.com" TargetMode="External"/><Relationship Id="rId7" Type="http://schemas.openxmlformats.org/officeDocument/2006/relationships/hyperlink" Target="mailto:direccion@pbsindustriaelectrica.com" TargetMode="External"/><Relationship Id="rId12" Type="http://schemas.openxmlformats.org/officeDocument/2006/relationships/hyperlink" Target="mailto:x10n8014@gmail.com" TargetMode="External"/><Relationship Id="rId17" Type="http://schemas.openxmlformats.org/officeDocument/2006/relationships/hyperlink" Target="mailto:contabilidad.marlo.int@gmail.com" TargetMode="External"/><Relationship Id="rId25" Type="http://schemas.openxmlformats.org/officeDocument/2006/relationships/hyperlink" Target="mailto:humberto@aargon.com%20" TargetMode="External"/><Relationship Id="rId2" Type="http://schemas.openxmlformats.org/officeDocument/2006/relationships/hyperlink" Target="mailto:anachavez@fortmexico.com" TargetMode="External"/><Relationship Id="rId16" Type="http://schemas.openxmlformats.org/officeDocument/2006/relationships/hyperlink" Target="mailto:jmkleimann@gmail.com" TargetMode="External"/><Relationship Id="rId20" Type="http://schemas.openxmlformats.org/officeDocument/2006/relationships/hyperlink" Target="mailto:pbsjesus@netscape.net" TargetMode="External"/><Relationship Id="rId1" Type="http://schemas.openxmlformats.org/officeDocument/2006/relationships/hyperlink" Target="mailto:anachavez@fortmexico.com" TargetMode="External"/><Relationship Id="rId6" Type="http://schemas.openxmlformats.org/officeDocument/2006/relationships/hyperlink" Target="mailto:edwin@bordergrower.com" TargetMode="External"/><Relationship Id="rId11" Type="http://schemas.openxmlformats.org/officeDocument/2006/relationships/hyperlink" Target="mailto:admin@educit.com.mx" TargetMode="External"/><Relationship Id="rId24" Type="http://schemas.openxmlformats.org/officeDocument/2006/relationships/hyperlink" Target="mailto:juliovazquezb@hotmail.com" TargetMode="External"/><Relationship Id="rId5" Type="http://schemas.openxmlformats.org/officeDocument/2006/relationships/hyperlink" Target="mailto:x10n8014@gmail.com" TargetMode="External"/><Relationship Id="rId15" Type="http://schemas.openxmlformats.org/officeDocument/2006/relationships/hyperlink" Target="mailto:jmkleimann@bajapoliplast.com" TargetMode="External"/><Relationship Id="rId23" Type="http://schemas.openxmlformats.org/officeDocument/2006/relationships/hyperlink" Target="mailto:Parapastelestodootay@gmail.com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nathan@ngtrucking.com" TargetMode="External"/><Relationship Id="rId19" Type="http://schemas.openxmlformats.org/officeDocument/2006/relationships/hyperlink" Target="mailto:colegioanestij@yahoo.com.mx" TargetMode="External"/><Relationship Id="rId4" Type="http://schemas.openxmlformats.org/officeDocument/2006/relationships/hyperlink" Target="mailto:jmkleimann@gmail.com" TargetMode="External"/><Relationship Id="rId9" Type="http://schemas.openxmlformats.org/officeDocument/2006/relationships/hyperlink" Target="mailto:Sergio.fuentes112@gmail.com" TargetMode="External"/><Relationship Id="rId14" Type="http://schemas.openxmlformats.org/officeDocument/2006/relationships/hyperlink" Target="mailto:alberto.floresav@gmail.com" TargetMode="External"/><Relationship Id="rId22" Type="http://schemas.openxmlformats.org/officeDocument/2006/relationships/hyperlink" Target="mailto:jmkleimann@bajapoliplast.com" TargetMode="External"/><Relationship Id="rId27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89F3-ACB6-4F6B-87DA-101F63A0719F}">
  <sheetPr codeName="Hoja1">
    <tabColor theme="9" tint="-0.249977111117893"/>
  </sheetPr>
  <dimension ref="A1:CP1048573"/>
  <sheetViews>
    <sheetView showGridLines="0" tabSelected="1" zoomScaleNormal="100" workbookViewId="0">
      <selection activeCell="G41" sqref="G41"/>
    </sheetView>
  </sheetViews>
  <sheetFormatPr baseColWidth="10" defaultRowHeight="15" outlineLevelCol="1" x14ac:dyDescent="0.25"/>
  <cols>
    <col min="1" max="1" width="4.7109375" customWidth="1"/>
    <col min="2" max="2" width="5.7109375" style="95" customWidth="1"/>
    <col min="3" max="3" width="8.42578125" customWidth="1"/>
    <col min="4" max="4" width="4.42578125" customWidth="1"/>
    <col min="5" max="5" width="56.140625" customWidth="1"/>
    <col min="6" max="6" width="6.140625" style="95" hidden="1" customWidth="1"/>
    <col min="7" max="7" width="15.28515625" customWidth="1"/>
    <col min="8" max="8" width="12.42578125" customWidth="1"/>
    <col min="9" max="9" width="16.5703125" customWidth="1"/>
    <col min="10" max="10" width="20.85546875" customWidth="1"/>
    <col min="11" max="11" width="23.85546875" customWidth="1"/>
    <col min="12" max="12" width="14.42578125" hidden="1" customWidth="1"/>
    <col min="13" max="14" width="11" hidden="1" customWidth="1"/>
    <col min="15" max="15" width="29.5703125" customWidth="1"/>
    <col min="16" max="16" width="11.140625" customWidth="1"/>
    <col min="17" max="17" width="5" hidden="1" customWidth="1" outlineLevel="1"/>
    <col min="18" max="18" width="7.28515625" hidden="1" customWidth="1" outlineLevel="1"/>
    <col min="19" max="19" width="9.42578125" hidden="1" customWidth="1" outlineLevel="1"/>
    <col min="20" max="20" width="7.42578125" hidden="1" customWidth="1" outlineLevel="1"/>
    <col min="21" max="21" width="6.85546875" hidden="1" customWidth="1" collapsed="1"/>
    <col min="22" max="22" width="5.28515625" hidden="1" customWidth="1" outlineLevel="1"/>
    <col min="23" max="23" width="6.7109375" hidden="1" customWidth="1" outlineLevel="1"/>
    <col min="24" max="24" width="8.42578125" hidden="1" customWidth="1" outlineLevel="1"/>
    <col min="25" max="25" width="7.140625" hidden="1" customWidth="1" outlineLevel="1"/>
    <col min="26" max="26" width="7.85546875" hidden="1" customWidth="1" collapsed="1"/>
    <col min="27" max="27" width="5.140625" hidden="1" customWidth="1" outlineLevel="1"/>
    <col min="28" max="28" width="6.7109375" hidden="1" customWidth="1" outlineLevel="1"/>
    <col min="29" max="29" width="9.140625" hidden="1" customWidth="1" outlineLevel="1"/>
    <col min="30" max="30" width="7.85546875" hidden="1" customWidth="1" outlineLevel="1"/>
    <col min="31" max="31" width="7.140625" hidden="1" customWidth="1" collapsed="1"/>
    <col min="32" max="32" width="7.42578125" hidden="1" customWidth="1" outlineLevel="1"/>
    <col min="33" max="33" width="6.7109375" hidden="1" customWidth="1" outlineLevel="1"/>
    <col min="34" max="34" width="7.140625" hidden="1" customWidth="1" outlineLevel="1"/>
    <col min="35" max="35" width="7.28515625" hidden="1" customWidth="1" collapsed="1"/>
    <col min="36" max="36" width="12.140625" hidden="1" customWidth="1" outlineLevel="1"/>
    <col min="37" max="37" width="6.42578125" hidden="1" customWidth="1" outlineLevel="1"/>
    <col min="38" max="38" width="11.140625" hidden="1" customWidth="1" outlineLevel="1"/>
    <col min="39" max="39" width="4.28515625" hidden="1" customWidth="1" collapsed="1"/>
    <col min="40" max="40" width="5.5703125" hidden="1" customWidth="1" outlineLevel="1"/>
    <col min="41" max="41" width="6.85546875" hidden="1" customWidth="1" outlineLevel="1"/>
    <col min="42" max="42" width="7.140625" hidden="1" customWidth="1" outlineLevel="1"/>
    <col min="43" max="43" width="5.7109375" hidden="1" customWidth="1" collapsed="1"/>
    <col min="44" max="44" width="8.28515625" hidden="1" customWidth="1" outlineLevel="1"/>
    <col min="45" max="45" width="12.42578125" hidden="1" customWidth="1" outlineLevel="1"/>
    <col min="46" max="46" width="5.85546875" hidden="1" customWidth="1" outlineLevel="1"/>
    <col min="47" max="47" width="5.85546875" hidden="1" customWidth="1" collapsed="1"/>
    <col min="48" max="50" width="6.85546875" hidden="1" customWidth="1" outlineLevel="1"/>
    <col min="51" max="51" width="6.85546875" hidden="1" customWidth="1" collapsed="1"/>
    <col min="52" max="52" width="9.5703125" hidden="1" customWidth="1" outlineLevel="1"/>
    <col min="53" max="54" width="6.42578125" hidden="1" customWidth="1" outlineLevel="1"/>
    <col min="55" max="55" width="7.42578125" hidden="1" customWidth="1" collapsed="1"/>
    <col min="56" max="57" width="8.42578125" hidden="1" customWidth="1" outlineLevel="1"/>
    <col min="58" max="58" width="8" hidden="1" customWidth="1" outlineLevel="1"/>
    <col min="59" max="59" width="6.140625" hidden="1" customWidth="1" collapsed="1"/>
    <col min="60" max="60" width="6.85546875" hidden="1" customWidth="1" outlineLevel="1"/>
    <col min="61" max="61" width="18.5703125" hidden="1" customWidth="1" outlineLevel="1"/>
    <col min="62" max="62" width="6.85546875" hidden="1" customWidth="1" outlineLevel="1"/>
    <col min="63" max="63" width="6.85546875" hidden="1" customWidth="1" collapsed="1"/>
    <col min="64" max="64" width="8.7109375" hidden="1" customWidth="1" outlineLevel="1"/>
    <col min="65" max="65" width="10.140625" hidden="1" customWidth="1" outlineLevel="1"/>
    <col min="66" max="66" width="8.85546875" hidden="1" customWidth="1" outlineLevel="1"/>
    <col min="67" max="67" width="7.42578125" hidden="1" customWidth="1" collapsed="1"/>
    <col min="68" max="68" width="8.42578125" hidden="1" customWidth="1" outlineLevel="1"/>
    <col min="69" max="70" width="11.42578125" hidden="1" customWidth="1" outlineLevel="1"/>
    <col min="71" max="71" width="6.85546875" customWidth="1" collapsed="1"/>
    <col min="72" max="74" width="8.7109375" customWidth="1" outlineLevel="1"/>
    <col min="75" max="75" width="9.5703125" customWidth="1"/>
    <col min="76" max="76" width="7.42578125" style="95" customWidth="1"/>
    <col min="77" max="79" width="11.42578125" hidden="1" customWidth="1" outlineLevel="1"/>
    <col min="80" max="80" width="11.42578125" collapsed="1"/>
  </cols>
  <sheetData>
    <row r="1" spans="1:94" ht="18" x14ac:dyDescent="0.25">
      <c r="C1" s="92" t="s">
        <v>184</v>
      </c>
      <c r="D1" s="92"/>
    </row>
    <row r="3" spans="1:94" ht="16.5" customHeight="1" x14ac:dyDescent="0.3">
      <c r="P3" s="246"/>
      <c r="Q3" s="247" t="s">
        <v>10</v>
      </c>
      <c r="R3" s="248"/>
      <c r="S3" s="248"/>
      <c r="T3" s="248"/>
      <c r="U3" s="248"/>
      <c r="V3" s="249" t="s">
        <v>15</v>
      </c>
      <c r="W3" s="250"/>
      <c r="X3" s="250"/>
      <c r="Y3" s="250"/>
      <c r="Z3" s="250"/>
      <c r="AA3" s="249" t="s">
        <v>16</v>
      </c>
      <c r="AB3" s="250"/>
      <c r="AC3" s="250"/>
      <c r="AD3" s="250"/>
      <c r="AE3" s="250"/>
      <c r="AF3" s="247" t="s">
        <v>17</v>
      </c>
      <c r="AG3" s="247"/>
      <c r="AH3" s="247"/>
      <c r="AI3" s="247"/>
      <c r="AJ3" s="249" t="s">
        <v>18</v>
      </c>
      <c r="AK3" s="250"/>
      <c r="AL3" s="250"/>
      <c r="AM3" s="250"/>
      <c r="AN3" s="249" t="s">
        <v>174</v>
      </c>
      <c r="AO3" s="250"/>
      <c r="AP3" s="250"/>
      <c r="AQ3" s="250"/>
      <c r="AR3" s="249" t="s">
        <v>175</v>
      </c>
      <c r="AS3" s="250"/>
      <c r="AT3" s="250"/>
      <c r="AU3" s="250"/>
      <c r="AV3" s="249" t="s">
        <v>176</v>
      </c>
      <c r="AW3" s="250"/>
      <c r="AX3" s="250"/>
      <c r="AY3" s="250"/>
      <c r="AZ3" s="249" t="s">
        <v>177</v>
      </c>
      <c r="BA3" s="250"/>
      <c r="BB3" s="250"/>
      <c r="BC3" s="250"/>
      <c r="BD3" s="249" t="s">
        <v>178</v>
      </c>
      <c r="BE3" s="250"/>
      <c r="BF3" s="250"/>
      <c r="BG3" s="250"/>
      <c r="BH3" s="249" t="s">
        <v>179</v>
      </c>
      <c r="BI3" s="250"/>
      <c r="BJ3" s="250"/>
      <c r="BK3" s="250"/>
      <c r="BL3" s="249" t="s">
        <v>180</v>
      </c>
      <c r="BM3" s="250"/>
      <c r="BN3" s="250"/>
      <c r="BO3" s="250"/>
      <c r="BP3" s="249" t="s">
        <v>10</v>
      </c>
      <c r="BQ3" s="250"/>
      <c r="BR3" s="250"/>
      <c r="BS3" s="250"/>
      <c r="BT3" s="249" t="s">
        <v>313</v>
      </c>
      <c r="BU3" s="250"/>
      <c r="BV3" s="250"/>
      <c r="BW3" s="250"/>
      <c r="BX3" s="252"/>
      <c r="BY3" s="249" t="s">
        <v>314</v>
      </c>
      <c r="BZ3" s="250"/>
      <c r="CA3" s="250"/>
      <c r="CB3" s="250"/>
      <c r="CC3" s="251"/>
      <c r="CD3" s="251"/>
      <c r="CE3" s="251"/>
      <c r="CF3" s="251"/>
      <c r="CG3" s="251"/>
      <c r="CH3" s="251"/>
      <c r="CI3" s="251"/>
      <c r="CJ3" s="251"/>
      <c r="CK3" s="251"/>
      <c r="CL3" s="251"/>
      <c r="CM3" s="251"/>
      <c r="CN3" s="251"/>
      <c r="CO3" s="251"/>
      <c r="CP3" s="251"/>
    </row>
    <row r="4" spans="1:94" s="1" customFormat="1" ht="30.75" customHeight="1" x14ac:dyDescent="0.2">
      <c r="A4" s="1" t="s">
        <v>245</v>
      </c>
      <c r="B4" s="139" t="s">
        <v>11</v>
      </c>
      <c r="C4" s="17" t="s">
        <v>0</v>
      </c>
      <c r="D4" s="34" t="s">
        <v>28</v>
      </c>
      <c r="E4" s="1" t="s">
        <v>1</v>
      </c>
      <c r="F4" s="139"/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74</v>
      </c>
      <c r="P4" s="14" t="s">
        <v>13</v>
      </c>
      <c r="Q4" s="13" t="s">
        <v>11</v>
      </c>
      <c r="R4" s="14" t="s">
        <v>12</v>
      </c>
      <c r="S4" s="15" t="s">
        <v>13</v>
      </c>
      <c r="T4" s="15" t="s">
        <v>14</v>
      </c>
      <c r="V4" s="13" t="s">
        <v>11</v>
      </c>
      <c r="W4" s="14" t="s">
        <v>12</v>
      </c>
      <c r="X4" s="15" t="s">
        <v>13</v>
      </c>
      <c r="Y4" s="15" t="s">
        <v>14</v>
      </c>
      <c r="AA4" s="16" t="s">
        <v>11</v>
      </c>
      <c r="AB4" s="14" t="s">
        <v>12</v>
      </c>
      <c r="AC4" s="14" t="s">
        <v>13</v>
      </c>
      <c r="AD4" s="14" t="s">
        <v>14</v>
      </c>
      <c r="AF4" s="14" t="s">
        <v>12</v>
      </c>
      <c r="AG4" s="16" t="s">
        <v>11</v>
      </c>
      <c r="AH4" s="14" t="s">
        <v>14</v>
      </c>
      <c r="AJ4" s="16" t="s">
        <v>11</v>
      </c>
      <c r="AK4" s="14" t="s">
        <v>12</v>
      </c>
      <c r="AL4" s="14" t="s">
        <v>14</v>
      </c>
      <c r="AN4" s="16" t="s">
        <v>11</v>
      </c>
      <c r="AO4" s="14" t="s">
        <v>12</v>
      </c>
      <c r="AP4" s="14" t="s">
        <v>14</v>
      </c>
      <c r="AR4" s="16" t="s">
        <v>11</v>
      </c>
      <c r="AS4" s="14" t="s">
        <v>12</v>
      </c>
      <c r="AT4" s="14" t="s">
        <v>14</v>
      </c>
      <c r="AV4" s="16" t="s">
        <v>11</v>
      </c>
      <c r="AW4" s="14" t="s">
        <v>12</v>
      </c>
      <c r="AX4" s="14" t="s">
        <v>14</v>
      </c>
      <c r="AZ4" s="14" t="s">
        <v>248</v>
      </c>
      <c r="BA4" s="14" t="s">
        <v>12</v>
      </c>
      <c r="BB4" s="14" t="s">
        <v>14</v>
      </c>
      <c r="BD4" s="16" t="s">
        <v>11</v>
      </c>
      <c r="BE4" s="14" t="s">
        <v>264</v>
      </c>
      <c r="BF4" s="14" t="s">
        <v>14</v>
      </c>
      <c r="BH4" s="16" t="s">
        <v>11</v>
      </c>
      <c r="BI4" s="14" t="s">
        <v>12</v>
      </c>
      <c r="BJ4" s="14" t="s">
        <v>14</v>
      </c>
      <c r="BL4" s="187" t="s">
        <v>11</v>
      </c>
      <c r="BM4" s="14" t="s">
        <v>12</v>
      </c>
      <c r="BN4" s="14" t="s">
        <v>14</v>
      </c>
      <c r="BP4" s="187" t="s">
        <v>11</v>
      </c>
      <c r="BQ4" s="14" t="s">
        <v>12</v>
      </c>
      <c r="BR4" s="14" t="s">
        <v>14</v>
      </c>
      <c r="BT4" s="187" t="s">
        <v>11</v>
      </c>
      <c r="BU4" s="14" t="s">
        <v>12</v>
      </c>
      <c r="BV4" s="14" t="s">
        <v>14</v>
      </c>
      <c r="BX4" s="253" t="s">
        <v>315</v>
      </c>
      <c r="BY4" s="187" t="s">
        <v>11</v>
      </c>
      <c r="BZ4" s="14" t="s">
        <v>12</v>
      </c>
      <c r="CA4" s="14" t="s">
        <v>14</v>
      </c>
    </row>
    <row r="5" spans="1:94" hidden="1" x14ac:dyDescent="0.25">
      <c r="B5" s="51" t="s">
        <v>187</v>
      </c>
      <c r="C5" s="88" t="s">
        <v>73</v>
      </c>
      <c r="D5" s="96">
        <v>3</v>
      </c>
      <c r="E5" s="227" t="s">
        <v>304</v>
      </c>
      <c r="F5" s="141" t="s">
        <v>238</v>
      </c>
      <c r="G5" s="81" t="s">
        <v>145</v>
      </c>
      <c r="H5" s="81" t="s">
        <v>82</v>
      </c>
      <c r="I5" s="81" t="s">
        <v>80</v>
      </c>
      <c r="J5" s="82" t="s">
        <v>81</v>
      </c>
      <c r="K5" s="191" t="s">
        <v>86</v>
      </c>
      <c r="L5" s="136">
        <v>6642043211</v>
      </c>
      <c r="M5" s="28"/>
      <c r="N5" s="32"/>
      <c r="O5" s="32" t="s">
        <v>173</v>
      </c>
      <c r="P5" s="94" t="s">
        <v>122</v>
      </c>
      <c r="AF5" s="74" t="s">
        <v>75</v>
      </c>
      <c r="AG5" s="51" t="s">
        <v>132</v>
      </c>
      <c r="AH5" s="54" t="s">
        <v>75</v>
      </c>
      <c r="AJ5" s="95" t="s">
        <v>187</v>
      </c>
      <c r="AK5" s="74" t="s">
        <v>75</v>
      </c>
      <c r="AL5" s="54" t="s">
        <v>75</v>
      </c>
      <c r="AN5" s="107" t="s">
        <v>187</v>
      </c>
      <c r="AO5" s="74" t="s">
        <v>75</v>
      </c>
      <c r="AR5" s="107" t="s">
        <v>187</v>
      </c>
      <c r="AS5" s="74" t="s">
        <v>75</v>
      </c>
      <c r="AT5" s="54" t="s">
        <v>75</v>
      </c>
      <c r="AV5" s="52" t="s">
        <v>187</v>
      </c>
      <c r="AW5" s="45" t="s">
        <v>75</v>
      </c>
      <c r="AX5" s="54" t="s">
        <v>75</v>
      </c>
      <c r="AZ5" s="51" t="s">
        <v>187</v>
      </c>
      <c r="BA5" s="74" t="s">
        <v>75</v>
      </c>
      <c r="BB5" s="74" t="s">
        <v>75</v>
      </c>
      <c r="BD5" s="32"/>
      <c r="BE5" s="74" t="s">
        <v>75</v>
      </c>
      <c r="BF5" s="74" t="s">
        <v>75</v>
      </c>
      <c r="BI5" s="74" t="s">
        <v>75</v>
      </c>
      <c r="BJ5" s="74" t="s">
        <v>75</v>
      </c>
      <c r="BM5" s="74" t="s">
        <v>75</v>
      </c>
      <c r="BP5" s="52" t="s">
        <v>187</v>
      </c>
      <c r="BQ5" s="74" t="s">
        <v>75</v>
      </c>
    </row>
    <row r="6" spans="1:94" ht="15" hidden="1" customHeight="1" x14ac:dyDescent="0.25">
      <c r="B6" s="52" t="s">
        <v>187</v>
      </c>
      <c r="C6" s="89" t="s">
        <v>72</v>
      </c>
      <c r="D6" s="97">
        <v>2</v>
      </c>
      <c r="E6" s="227" t="s">
        <v>67</v>
      </c>
      <c r="F6" s="141" t="s">
        <v>238</v>
      </c>
      <c r="G6" s="81" t="s">
        <v>146</v>
      </c>
      <c r="H6" s="81" t="s">
        <v>91</v>
      </c>
      <c r="I6" s="81" t="s">
        <v>92</v>
      </c>
      <c r="J6" s="82"/>
      <c r="K6" s="192" t="s">
        <v>90</v>
      </c>
      <c r="L6" s="136">
        <v>6643874450</v>
      </c>
      <c r="M6" s="24"/>
      <c r="N6" s="23"/>
      <c r="O6" s="23" t="s">
        <v>38</v>
      </c>
      <c r="P6" s="94" t="s">
        <v>122</v>
      </c>
      <c r="AF6" s="74" t="s">
        <v>75</v>
      </c>
      <c r="AG6" s="52" t="s">
        <v>132</v>
      </c>
      <c r="AH6" s="54" t="s">
        <v>75</v>
      </c>
      <c r="AJ6" s="95" t="s">
        <v>187</v>
      </c>
      <c r="AK6" s="74" t="s">
        <v>75</v>
      </c>
      <c r="AL6" s="54" t="s">
        <v>75</v>
      </c>
      <c r="AN6" s="105" t="s">
        <v>187</v>
      </c>
      <c r="AO6" s="74" t="s">
        <v>75</v>
      </c>
      <c r="AR6" s="105" t="s">
        <v>187</v>
      </c>
      <c r="AS6" s="74" t="s">
        <v>75</v>
      </c>
      <c r="AT6" s="54" t="s">
        <v>75</v>
      </c>
      <c r="AV6" s="52" t="s">
        <v>187</v>
      </c>
      <c r="AW6" s="45" t="s">
        <v>75</v>
      </c>
      <c r="AX6" s="54" t="s">
        <v>75</v>
      </c>
      <c r="AZ6" s="173" t="s">
        <v>187</v>
      </c>
      <c r="BA6" s="172" t="s">
        <v>75</v>
      </c>
      <c r="BD6" s="23"/>
      <c r="BE6" s="74" t="s">
        <v>75</v>
      </c>
      <c r="BF6" s="74" t="s">
        <v>75</v>
      </c>
      <c r="BI6" s="74" t="s">
        <v>75</v>
      </c>
      <c r="BJ6" s="74" t="s">
        <v>75</v>
      </c>
      <c r="BM6" s="74" t="s">
        <v>75</v>
      </c>
      <c r="BP6" s="52" t="s">
        <v>187</v>
      </c>
      <c r="BQ6" s="74" t="s">
        <v>75</v>
      </c>
    </row>
    <row r="7" spans="1:94" ht="15" hidden="1" customHeight="1" x14ac:dyDescent="0.25">
      <c r="B7" s="52" t="s">
        <v>187</v>
      </c>
      <c r="C7" s="89" t="s">
        <v>72</v>
      </c>
      <c r="D7" s="97">
        <v>3</v>
      </c>
      <c r="E7" s="227" t="s">
        <v>168</v>
      </c>
      <c r="F7" s="145" t="s">
        <v>239</v>
      </c>
      <c r="G7" s="146" t="s">
        <v>244</v>
      </c>
      <c r="H7" s="146" t="s">
        <v>88</v>
      </c>
      <c r="I7" s="146" t="s">
        <v>89</v>
      </c>
      <c r="J7" s="147"/>
      <c r="K7" s="193" t="s">
        <v>87</v>
      </c>
      <c r="L7" s="189">
        <v>6642874587</v>
      </c>
      <c r="M7" s="148"/>
      <c r="N7" s="149"/>
      <c r="O7" s="149" t="s">
        <v>77</v>
      </c>
      <c r="P7" s="150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2" t="s">
        <v>75</v>
      </c>
      <c r="AG7" s="52" t="s">
        <v>132</v>
      </c>
      <c r="AH7" s="73" t="s">
        <v>132</v>
      </c>
      <c r="AI7" s="151"/>
      <c r="AJ7" s="153" t="s">
        <v>187</v>
      </c>
      <c r="AK7" s="152" t="s">
        <v>75</v>
      </c>
      <c r="AL7" s="73" t="s">
        <v>132</v>
      </c>
      <c r="AM7" s="151"/>
      <c r="AN7" s="52" t="s">
        <v>187</v>
      </c>
      <c r="AO7" s="152" t="s">
        <v>75</v>
      </c>
      <c r="AP7" s="151"/>
      <c r="AQ7" s="151"/>
      <c r="AR7" s="52" t="s">
        <v>187</v>
      </c>
      <c r="AS7" s="151"/>
      <c r="AT7" s="73" t="s">
        <v>132</v>
      </c>
      <c r="AU7" s="151"/>
      <c r="AV7" s="52" t="s">
        <v>187</v>
      </c>
      <c r="AW7" s="151"/>
      <c r="AX7" s="151"/>
      <c r="AZ7" s="173" t="s">
        <v>187</v>
      </c>
      <c r="BA7" s="23"/>
      <c r="BD7" s="23"/>
      <c r="BE7" s="23"/>
      <c r="BF7" s="23"/>
      <c r="BP7" s="52" t="s">
        <v>187</v>
      </c>
      <c r="BQ7" s="74" t="s">
        <v>75</v>
      </c>
    </row>
    <row r="8" spans="1:94" ht="18" hidden="1" customHeight="1" x14ac:dyDescent="0.25">
      <c r="B8" s="52" t="s">
        <v>187</v>
      </c>
      <c r="C8" s="89" t="s">
        <v>72</v>
      </c>
      <c r="D8" s="97">
        <v>3</v>
      </c>
      <c r="E8" s="227" t="s">
        <v>169</v>
      </c>
      <c r="F8" s="141" t="s">
        <v>238</v>
      </c>
      <c r="G8" s="81" t="s">
        <v>144</v>
      </c>
      <c r="H8" s="81" t="s">
        <v>83</v>
      </c>
      <c r="I8" s="81" t="s">
        <v>84</v>
      </c>
      <c r="J8" s="82">
        <v>12345678</v>
      </c>
      <c r="K8" s="192" t="s">
        <v>85</v>
      </c>
      <c r="L8" s="136">
        <v>6642874587</v>
      </c>
      <c r="M8" s="24"/>
      <c r="N8" s="23"/>
      <c r="O8" s="23" t="s">
        <v>38</v>
      </c>
      <c r="P8" s="94" t="s">
        <v>122</v>
      </c>
      <c r="AF8" s="74" t="s">
        <v>75</v>
      </c>
      <c r="AG8" s="52" t="s">
        <v>132</v>
      </c>
      <c r="AH8" s="54" t="s">
        <v>75</v>
      </c>
      <c r="AJ8" s="95" t="s">
        <v>187</v>
      </c>
      <c r="AK8" s="74" t="s">
        <v>75</v>
      </c>
      <c r="AL8" s="54" t="s">
        <v>75</v>
      </c>
      <c r="AN8" s="105" t="s">
        <v>187</v>
      </c>
      <c r="AO8" s="74" t="s">
        <v>75</v>
      </c>
      <c r="AR8" s="105" t="s">
        <v>187</v>
      </c>
      <c r="AS8" s="74" t="s">
        <v>75</v>
      </c>
      <c r="AT8" s="54" t="s">
        <v>75</v>
      </c>
      <c r="AV8" s="52" t="s">
        <v>187</v>
      </c>
      <c r="AW8" s="45" t="s">
        <v>75</v>
      </c>
      <c r="AX8" s="54" t="s">
        <v>75</v>
      </c>
      <c r="AZ8" s="52" t="s">
        <v>187</v>
      </c>
      <c r="BA8" s="172" t="s">
        <v>75</v>
      </c>
      <c r="BD8" s="23"/>
      <c r="BE8" s="74" t="s">
        <v>75</v>
      </c>
      <c r="BF8" s="74" t="s">
        <v>75</v>
      </c>
      <c r="BI8" s="74" t="s">
        <v>75</v>
      </c>
      <c r="BJ8" s="74" t="s">
        <v>75</v>
      </c>
      <c r="BM8" s="74" t="s">
        <v>75</v>
      </c>
      <c r="BP8" s="52" t="s">
        <v>187</v>
      </c>
      <c r="BQ8" s="74" t="s">
        <v>75</v>
      </c>
    </row>
    <row r="9" spans="1:94" hidden="1" x14ac:dyDescent="0.25">
      <c r="B9" s="52" t="s">
        <v>187</v>
      </c>
      <c r="C9" s="90" t="s">
        <v>71</v>
      </c>
      <c r="D9" s="98">
        <v>3</v>
      </c>
      <c r="E9" s="227" t="s">
        <v>170</v>
      </c>
      <c r="F9" s="141" t="s">
        <v>238</v>
      </c>
      <c r="G9" s="81" t="s">
        <v>147</v>
      </c>
      <c r="H9" s="81" t="s">
        <v>94</v>
      </c>
      <c r="I9" s="81" t="s">
        <v>95</v>
      </c>
      <c r="J9" s="82" t="s">
        <v>95</v>
      </c>
      <c r="K9" s="192" t="s">
        <v>93</v>
      </c>
      <c r="L9" s="136">
        <v>6642651838</v>
      </c>
      <c r="M9" s="24"/>
      <c r="N9" s="23"/>
      <c r="O9" s="23" t="s">
        <v>38</v>
      </c>
      <c r="P9" s="94" t="s">
        <v>122</v>
      </c>
      <c r="AF9" s="74" t="s">
        <v>75</v>
      </c>
      <c r="AG9" s="52" t="s">
        <v>132</v>
      </c>
      <c r="AH9" s="54" t="s">
        <v>75</v>
      </c>
      <c r="AJ9" s="95" t="s">
        <v>187</v>
      </c>
      <c r="AK9" s="74" t="s">
        <v>75</v>
      </c>
      <c r="AL9" s="54" t="s">
        <v>75</v>
      </c>
      <c r="AN9" s="105" t="s">
        <v>187</v>
      </c>
      <c r="AO9" s="74" t="s">
        <v>75</v>
      </c>
      <c r="AR9" s="105" t="s">
        <v>187</v>
      </c>
      <c r="AS9" s="74" t="s">
        <v>75</v>
      </c>
      <c r="AT9" s="54" t="s">
        <v>75</v>
      </c>
      <c r="AV9" s="52" t="s">
        <v>187</v>
      </c>
      <c r="AW9" s="45" t="s">
        <v>75</v>
      </c>
      <c r="AX9" s="54" t="s">
        <v>75</v>
      </c>
      <c r="AZ9" s="52" t="s">
        <v>187</v>
      </c>
      <c r="BA9" s="172" t="s">
        <v>75</v>
      </c>
      <c r="BD9" s="23"/>
      <c r="BE9" s="74" t="s">
        <v>75</v>
      </c>
      <c r="BF9" s="74" t="s">
        <v>75</v>
      </c>
      <c r="BI9" s="74" t="s">
        <v>75</v>
      </c>
      <c r="BJ9" s="74" t="s">
        <v>75</v>
      </c>
      <c r="BM9" s="74" t="s">
        <v>75</v>
      </c>
      <c r="BP9" s="52" t="s">
        <v>187</v>
      </c>
      <c r="BQ9" s="74" t="s">
        <v>75</v>
      </c>
    </row>
    <row r="10" spans="1:94" x14ac:dyDescent="0.25">
      <c r="B10" s="74" t="s">
        <v>75</v>
      </c>
      <c r="C10" s="85" t="s">
        <v>70</v>
      </c>
      <c r="D10" s="99">
        <v>5</v>
      </c>
      <c r="E10" s="228" t="s">
        <v>126</v>
      </c>
      <c r="F10" s="140"/>
      <c r="G10" s="81" t="s">
        <v>149</v>
      </c>
      <c r="H10" s="81" t="s">
        <v>112</v>
      </c>
      <c r="I10" s="81" t="s">
        <v>112</v>
      </c>
      <c r="J10" s="83" t="s">
        <v>113</v>
      </c>
      <c r="K10" s="260" t="s">
        <v>98</v>
      </c>
      <c r="L10" s="190" t="s">
        <v>122</v>
      </c>
      <c r="M10" s="37"/>
      <c r="N10" s="36"/>
      <c r="O10" s="36" t="s">
        <v>242</v>
      </c>
      <c r="P10" s="94" t="s">
        <v>122</v>
      </c>
      <c r="AF10" s="72"/>
      <c r="AG10" s="54" t="s">
        <v>75</v>
      </c>
      <c r="AH10" s="54" t="s">
        <v>75</v>
      </c>
      <c r="AJ10" s="74" t="s">
        <v>75</v>
      </c>
      <c r="AK10" s="74" t="s">
        <v>75</v>
      </c>
      <c r="AL10" s="54" t="s">
        <v>75</v>
      </c>
      <c r="AN10" s="74" t="s">
        <v>75</v>
      </c>
      <c r="AO10" s="74" t="s">
        <v>75</v>
      </c>
      <c r="AR10" s="74" t="s">
        <v>75</v>
      </c>
      <c r="AS10" s="74" t="s">
        <v>75</v>
      </c>
      <c r="AT10" s="54" t="s">
        <v>75</v>
      </c>
      <c r="AV10" s="45" t="s">
        <v>75</v>
      </c>
      <c r="AW10" s="45" t="s">
        <v>75</v>
      </c>
      <c r="AX10" s="54" t="s">
        <v>75</v>
      </c>
      <c r="AZ10" s="172" t="s">
        <v>75</v>
      </c>
      <c r="BA10" s="172" t="s">
        <v>75</v>
      </c>
      <c r="BD10" s="74" t="s">
        <v>75</v>
      </c>
      <c r="BE10" s="74" t="s">
        <v>75</v>
      </c>
      <c r="BF10" s="23"/>
      <c r="BH10" s="74" t="s">
        <v>75</v>
      </c>
      <c r="BI10" s="74" t="s">
        <v>75</v>
      </c>
      <c r="BJ10" s="74" t="s">
        <v>75</v>
      </c>
      <c r="BM10" s="74" t="s">
        <v>75</v>
      </c>
      <c r="BP10" s="74" t="s">
        <v>75</v>
      </c>
      <c r="BQ10" s="74" t="s">
        <v>75</v>
      </c>
    </row>
    <row r="11" spans="1:94" x14ac:dyDescent="0.25">
      <c r="A11" s="131">
        <v>0.08</v>
      </c>
      <c r="B11" s="74" t="s">
        <v>75</v>
      </c>
      <c r="C11" s="85" t="s">
        <v>70</v>
      </c>
      <c r="D11" s="99">
        <v>1</v>
      </c>
      <c r="E11" s="229" t="s">
        <v>227</v>
      </c>
      <c r="F11" s="141" t="s">
        <v>238</v>
      </c>
      <c r="G11" s="83" t="s">
        <v>231</v>
      </c>
      <c r="H11" s="83" t="s">
        <v>228</v>
      </c>
      <c r="I11" s="81" t="s">
        <v>228</v>
      </c>
      <c r="J11" s="83"/>
      <c r="K11" s="261" t="s">
        <v>230</v>
      </c>
      <c r="L11" s="136" t="s">
        <v>229</v>
      </c>
      <c r="M11" s="24"/>
      <c r="N11" s="23"/>
      <c r="O11" s="36" t="s">
        <v>38</v>
      </c>
      <c r="P11" s="77"/>
      <c r="AF11" s="77"/>
      <c r="AG11" s="23"/>
      <c r="AH11" s="23"/>
      <c r="AK11" s="23"/>
      <c r="AL11" s="23"/>
      <c r="AN11" s="23"/>
      <c r="AO11" s="23"/>
      <c r="AR11" s="74" t="s">
        <v>75</v>
      </c>
      <c r="AS11" s="74" t="s">
        <v>75</v>
      </c>
      <c r="AT11" s="23"/>
      <c r="AV11" s="45" t="s">
        <v>75</v>
      </c>
      <c r="AW11" s="45" t="s">
        <v>75</v>
      </c>
      <c r="AX11" s="54" t="s">
        <v>75</v>
      </c>
      <c r="AZ11" s="74" t="s">
        <v>75</v>
      </c>
      <c r="BA11" s="172" t="s">
        <v>75</v>
      </c>
      <c r="BD11" s="74" t="s">
        <v>75</v>
      </c>
      <c r="BE11" s="74" t="s">
        <v>75</v>
      </c>
      <c r="BF11" s="23"/>
      <c r="BH11" s="74" t="s">
        <v>75</v>
      </c>
      <c r="BI11" s="74" t="s">
        <v>75</v>
      </c>
      <c r="BJ11" s="74" t="s">
        <v>75</v>
      </c>
      <c r="BM11" s="74" t="s">
        <v>75</v>
      </c>
      <c r="BP11" s="74" t="s">
        <v>75</v>
      </c>
      <c r="BQ11" s="74" t="s">
        <v>75</v>
      </c>
    </row>
    <row r="12" spans="1:94" hidden="1" x14ac:dyDescent="0.25">
      <c r="A12" s="131">
        <v>0.08</v>
      </c>
      <c r="B12" s="74" t="s">
        <v>75</v>
      </c>
      <c r="C12" s="85" t="s">
        <v>70</v>
      </c>
      <c r="D12" s="99">
        <v>4</v>
      </c>
      <c r="E12" s="227" t="s">
        <v>309</v>
      </c>
      <c r="F12" s="140"/>
      <c r="G12" s="81" t="s">
        <v>182</v>
      </c>
      <c r="H12" s="81" t="s">
        <v>183</v>
      </c>
      <c r="I12" s="81" t="s">
        <v>183</v>
      </c>
      <c r="J12" s="83" t="s">
        <v>183</v>
      </c>
      <c r="K12" s="261" t="s">
        <v>172</v>
      </c>
      <c r="L12" s="190">
        <v>6644079252</v>
      </c>
      <c r="M12" s="37"/>
      <c r="N12" s="36"/>
      <c r="O12" s="36" t="s">
        <v>263</v>
      </c>
      <c r="P12" s="94" t="s">
        <v>122</v>
      </c>
      <c r="AF12" s="72"/>
      <c r="AG12" s="54"/>
      <c r="AH12" s="54"/>
      <c r="AJ12" s="105" t="s">
        <v>187</v>
      </c>
      <c r="AK12" s="74" t="s">
        <v>75</v>
      </c>
      <c r="AL12" s="73" t="s">
        <v>132</v>
      </c>
      <c r="AN12" s="105" t="s">
        <v>187</v>
      </c>
      <c r="AO12" s="74" t="s">
        <v>75</v>
      </c>
      <c r="AR12" s="105" t="s">
        <v>187</v>
      </c>
      <c r="AS12" s="74" t="s">
        <v>75</v>
      </c>
      <c r="AT12" s="73" t="s">
        <v>132</v>
      </c>
      <c r="AV12" s="45" t="s">
        <v>75</v>
      </c>
      <c r="AW12" s="45" t="s">
        <v>75</v>
      </c>
      <c r="AX12" s="54" t="s">
        <v>75</v>
      </c>
      <c r="AZ12" s="74" t="s">
        <v>75</v>
      </c>
      <c r="BA12" s="172" t="s">
        <v>75</v>
      </c>
      <c r="BD12" s="74" t="s">
        <v>75</v>
      </c>
      <c r="BE12" s="74" t="s">
        <v>75</v>
      </c>
      <c r="BF12" s="23"/>
      <c r="BH12" s="74" t="s">
        <v>75</v>
      </c>
      <c r="BI12" s="74" t="s">
        <v>75</v>
      </c>
      <c r="BJ12" s="184" t="s">
        <v>187</v>
      </c>
      <c r="BM12" s="74" t="s">
        <v>75</v>
      </c>
      <c r="BP12" s="74" t="s">
        <v>75</v>
      </c>
      <c r="BQ12" s="74" t="s">
        <v>75</v>
      </c>
    </row>
    <row r="13" spans="1:94" x14ac:dyDescent="0.25">
      <c r="B13" s="74" t="s">
        <v>75</v>
      </c>
      <c r="C13" s="85" t="s">
        <v>70</v>
      </c>
      <c r="D13" s="99">
        <v>5</v>
      </c>
      <c r="E13" s="228" t="s">
        <v>125</v>
      </c>
      <c r="F13" s="140"/>
      <c r="G13" s="81" t="s">
        <v>148</v>
      </c>
      <c r="H13" s="81" t="s">
        <v>111</v>
      </c>
      <c r="I13" s="81" t="s">
        <v>111</v>
      </c>
      <c r="J13" s="83" t="s">
        <v>111</v>
      </c>
      <c r="K13" s="260" t="s">
        <v>98</v>
      </c>
      <c r="L13" s="190" t="s">
        <v>122</v>
      </c>
      <c r="M13" s="37"/>
      <c r="N13" s="36"/>
      <c r="O13" s="36" t="s">
        <v>242</v>
      </c>
      <c r="P13" s="94" t="s">
        <v>122</v>
      </c>
      <c r="AF13" s="72"/>
      <c r="AG13" s="54" t="s">
        <v>75</v>
      </c>
      <c r="AH13" s="54" t="s">
        <v>75</v>
      </c>
      <c r="AJ13" s="74" t="s">
        <v>75</v>
      </c>
      <c r="AK13" s="74" t="s">
        <v>75</v>
      </c>
      <c r="AL13" s="54" t="s">
        <v>75</v>
      </c>
      <c r="AN13" s="74" t="s">
        <v>75</v>
      </c>
      <c r="AO13" s="74" t="s">
        <v>75</v>
      </c>
      <c r="AR13" s="74" t="s">
        <v>75</v>
      </c>
      <c r="AS13" s="74" t="s">
        <v>75</v>
      </c>
      <c r="AT13" s="54" t="s">
        <v>75</v>
      </c>
      <c r="AV13" s="45" t="s">
        <v>75</v>
      </c>
      <c r="AW13" s="45" t="s">
        <v>75</v>
      </c>
      <c r="AX13" s="54" t="s">
        <v>75</v>
      </c>
      <c r="AZ13" s="74" t="s">
        <v>75</v>
      </c>
      <c r="BA13" s="172" t="s">
        <v>75</v>
      </c>
      <c r="BD13" s="74" t="s">
        <v>75</v>
      </c>
      <c r="BE13" s="74" t="s">
        <v>75</v>
      </c>
      <c r="BF13" s="23"/>
      <c r="BH13" s="74" t="s">
        <v>75</v>
      </c>
      <c r="BI13" s="74" t="s">
        <v>75</v>
      </c>
      <c r="BJ13" s="74" t="s">
        <v>75</v>
      </c>
      <c r="BM13" s="74" t="s">
        <v>75</v>
      </c>
      <c r="BP13" s="74" t="s">
        <v>75</v>
      </c>
      <c r="BQ13" s="74" t="s">
        <v>75</v>
      </c>
    </row>
    <row r="14" spans="1:94" x14ac:dyDescent="0.25">
      <c r="B14" s="74" t="s">
        <v>75</v>
      </c>
      <c r="C14" s="91" t="s">
        <v>69</v>
      </c>
      <c r="D14" s="100">
        <v>2</v>
      </c>
      <c r="E14" s="228" t="s">
        <v>128</v>
      </c>
      <c r="F14" s="140"/>
      <c r="G14" s="81" t="s">
        <v>151</v>
      </c>
      <c r="H14" s="81" t="s">
        <v>114</v>
      </c>
      <c r="I14" s="81" t="s">
        <v>115</v>
      </c>
      <c r="J14" s="83"/>
      <c r="K14" s="260" t="s">
        <v>116</v>
      </c>
      <c r="L14" s="136" t="s">
        <v>122</v>
      </c>
      <c r="M14" s="24"/>
      <c r="N14" s="23"/>
      <c r="O14" s="23" t="s">
        <v>38</v>
      </c>
      <c r="P14" s="94"/>
      <c r="AF14" s="72"/>
      <c r="AG14" s="54" t="s">
        <v>75</v>
      </c>
      <c r="AH14" s="73" t="s">
        <v>132</v>
      </c>
      <c r="AJ14" s="125" t="s">
        <v>75</v>
      </c>
      <c r="AK14" s="74" t="s">
        <v>75</v>
      </c>
      <c r="AL14" s="54" t="s">
        <v>75</v>
      </c>
      <c r="AN14" s="4" t="s">
        <v>75</v>
      </c>
      <c r="AO14" s="74" t="s">
        <v>75</v>
      </c>
      <c r="AR14" s="74" t="s">
        <v>75</v>
      </c>
      <c r="AS14" s="74" t="s">
        <v>75</v>
      </c>
      <c r="AT14" s="54" t="s">
        <v>75</v>
      </c>
      <c r="AV14" s="45" t="s">
        <v>75</v>
      </c>
      <c r="AW14" s="45" t="s">
        <v>75</v>
      </c>
      <c r="AX14" s="54" t="s">
        <v>75</v>
      </c>
      <c r="AZ14" s="74" t="s">
        <v>75</v>
      </c>
      <c r="BA14" s="172" t="s">
        <v>75</v>
      </c>
      <c r="BD14" s="23"/>
      <c r="BE14" s="74" t="s">
        <v>75</v>
      </c>
      <c r="BF14" s="23"/>
      <c r="BH14" s="74" t="s">
        <v>75</v>
      </c>
      <c r="BI14" s="74" t="s">
        <v>75</v>
      </c>
      <c r="BJ14" s="74" t="s">
        <v>75</v>
      </c>
      <c r="BM14" s="74" t="s">
        <v>75</v>
      </c>
      <c r="BP14" s="74" t="s">
        <v>75</v>
      </c>
      <c r="BQ14" s="74" t="s">
        <v>75</v>
      </c>
    </row>
    <row r="15" spans="1:94" ht="15.75" hidden="1" x14ac:dyDescent="0.25">
      <c r="B15" s="52" t="s">
        <v>187</v>
      </c>
      <c r="C15" s="91" t="s">
        <v>69</v>
      </c>
      <c r="D15" s="100">
        <v>3</v>
      </c>
      <c r="E15" s="227" t="s">
        <v>310</v>
      </c>
      <c r="F15" s="140"/>
      <c r="G15" s="81" t="s">
        <v>152</v>
      </c>
      <c r="H15" s="81" t="s">
        <v>117</v>
      </c>
      <c r="I15" s="81" t="s">
        <v>118</v>
      </c>
      <c r="J15" s="83" t="s">
        <v>118</v>
      </c>
      <c r="K15" s="261" t="s">
        <v>96</v>
      </c>
      <c r="L15" s="136">
        <v>6644079252</v>
      </c>
      <c r="M15" s="37"/>
      <c r="N15" s="5"/>
      <c r="O15" s="36" t="s">
        <v>273</v>
      </c>
      <c r="P15" s="94" t="s">
        <v>122</v>
      </c>
      <c r="AF15" s="72"/>
      <c r="AG15" s="52" t="s">
        <v>132</v>
      </c>
      <c r="AH15" s="54" t="s">
        <v>75</v>
      </c>
      <c r="AJ15" s="95" t="s">
        <v>187</v>
      </c>
      <c r="AK15" s="74" t="s">
        <v>75</v>
      </c>
      <c r="AL15" s="54" t="s">
        <v>75</v>
      </c>
      <c r="AN15" s="126" t="s">
        <v>187</v>
      </c>
      <c r="AO15" s="74" t="s">
        <v>75</v>
      </c>
      <c r="AR15" s="105" t="s">
        <v>187</v>
      </c>
      <c r="AT15" s="54" t="s">
        <v>75</v>
      </c>
      <c r="AV15" s="52" t="s">
        <v>187</v>
      </c>
      <c r="AW15" s="45" t="s">
        <v>75</v>
      </c>
      <c r="AX15" s="54" t="s">
        <v>75</v>
      </c>
      <c r="AZ15" s="173" t="s">
        <v>187</v>
      </c>
      <c r="BA15" s="172" t="s">
        <v>75</v>
      </c>
      <c r="BD15" s="23"/>
      <c r="BE15" s="74" t="s">
        <v>75</v>
      </c>
      <c r="BF15" s="23"/>
      <c r="BI15" s="74" t="s">
        <v>75</v>
      </c>
      <c r="BJ15" s="74" t="s">
        <v>75</v>
      </c>
      <c r="BM15" s="74" t="s">
        <v>75</v>
      </c>
      <c r="BP15" s="52" t="s">
        <v>187</v>
      </c>
      <c r="BQ15" s="74" t="s">
        <v>75</v>
      </c>
    </row>
    <row r="16" spans="1:94" ht="14.25" customHeight="1" x14ac:dyDescent="0.25">
      <c r="B16" s="52" t="s">
        <v>187</v>
      </c>
      <c r="C16" s="91" t="s">
        <v>69</v>
      </c>
      <c r="D16" s="100">
        <v>2</v>
      </c>
      <c r="E16" s="228" t="s">
        <v>186</v>
      </c>
      <c r="F16" s="140"/>
      <c r="G16" s="81" t="s">
        <v>150</v>
      </c>
      <c r="H16" s="81" t="s">
        <v>119</v>
      </c>
      <c r="I16" s="81" t="s">
        <v>120</v>
      </c>
      <c r="J16" s="83"/>
      <c r="K16" s="260" t="s">
        <v>121</v>
      </c>
      <c r="L16" s="136">
        <v>13104151870</v>
      </c>
      <c r="M16" s="24"/>
      <c r="N16" s="24"/>
      <c r="O16" s="23" t="s">
        <v>38</v>
      </c>
      <c r="P16" s="94" t="s">
        <v>122</v>
      </c>
      <c r="AF16" s="72"/>
      <c r="AG16" s="52" t="s">
        <v>132</v>
      </c>
      <c r="AH16" s="54" t="s">
        <v>75</v>
      </c>
      <c r="AJ16" s="105" t="s">
        <v>187</v>
      </c>
      <c r="AK16" s="74" t="s">
        <v>75</v>
      </c>
      <c r="AL16" s="54" t="s">
        <v>75</v>
      </c>
      <c r="AN16" s="105" t="s">
        <v>187</v>
      </c>
      <c r="AO16" s="74" t="s">
        <v>75</v>
      </c>
      <c r="AR16" s="105" t="s">
        <v>187</v>
      </c>
      <c r="AS16" s="74" t="s">
        <v>75</v>
      </c>
      <c r="AT16" s="54" t="s">
        <v>75</v>
      </c>
      <c r="AV16" s="52" t="s">
        <v>187</v>
      </c>
      <c r="AW16" s="45" t="s">
        <v>75</v>
      </c>
      <c r="AX16" s="54" t="s">
        <v>75</v>
      </c>
      <c r="AZ16" s="173" t="s">
        <v>187</v>
      </c>
      <c r="BA16" s="172" t="s">
        <v>75</v>
      </c>
      <c r="BD16" s="23"/>
      <c r="BE16" s="74" t="s">
        <v>75</v>
      </c>
      <c r="BF16" s="23"/>
      <c r="BI16" s="74" t="s">
        <v>75</v>
      </c>
      <c r="BJ16" s="74" t="s">
        <v>75</v>
      </c>
      <c r="BM16" s="74" t="s">
        <v>75</v>
      </c>
      <c r="BP16" s="52" t="s">
        <v>187</v>
      </c>
      <c r="BQ16" s="74" t="s">
        <v>75</v>
      </c>
    </row>
    <row r="17" spans="1:69" ht="14.25" hidden="1" customHeight="1" x14ac:dyDescent="0.25">
      <c r="B17" s="74" t="s">
        <v>75</v>
      </c>
      <c r="C17" s="86" t="s">
        <v>34</v>
      </c>
      <c r="D17" s="101">
        <v>2</v>
      </c>
      <c r="E17" s="227" t="s">
        <v>287</v>
      </c>
      <c r="F17" s="141" t="s">
        <v>238</v>
      </c>
      <c r="G17" s="83" t="s">
        <v>155</v>
      </c>
      <c r="H17" s="83" t="s">
        <v>243</v>
      </c>
      <c r="I17" s="81" t="s">
        <v>97</v>
      </c>
      <c r="J17" s="83" t="s">
        <v>97</v>
      </c>
      <c r="K17" s="260" t="s">
        <v>96</v>
      </c>
      <c r="L17" s="136">
        <v>6644079252</v>
      </c>
      <c r="M17" s="24"/>
      <c r="N17" s="24"/>
      <c r="O17" s="23" t="s">
        <v>78</v>
      </c>
      <c r="P17" s="94" t="s">
        <v>122</v>
      </c>
      <c r="AF17" s="72"/>
      <c r="AG17" s="54" t="s">
        <v>75</v>
      </c>
      <c r="AH17" s="54" t="s">
        <v>75</v>
      </c>
      <c r="AJ17" s="74" t="s">
        <v>75</v>
      </c>
      <c r="AK17" s="74" t="s">
        <v>75</v>
      </c>
      <c r="AL17" s="54" t="s">
        <v>75</v>
      </c>
      <c r="AN17" s="74" t="s">
        <v>75</v>
      </c>
      <c r="AO17" s="74" t="s">
        <v>75</v>
      </c>
      <c r="AR17" s="74" t="s">
        <v>75</v>
      </c>
      <c r="AS17" s="74" t="s">
        <v>75</v>
      </c>
      <c r="AT17" s="54" t="s">
        <v>75</v>
      </c>
      <c r="AV17" s="45" t="s">
        <v>75</v>
      </c>
      <c r="AW17" s="45" t="s">
        <v>75</v>
      </c>
      <c r="AX17" s="54" t="s">
        <v>75</v>
      </c>
      <c r="AZ17" s="74" t="s">
        <v>75</v>
      </c>
      <c r="BA17" s="172" t="s">
        <v>75</v>
      </c>
      <c r="BD17" s="74" t="s">
        <v>75</v>
      </c>
      <c r="BE17" s="74" t="s">
        <v>75</v>
      </c>
      <c r="BF17" s="23"/>
      <c r="BH17" s="74" t="s">
        <v>75</v>
      </c>
      <c r="BI17" s="74" t="s">
        <v>75</v>
      </c>
      <c r="BJ17" s="74" t="s">
        <v>75</v>
      </c>
      <c r="BM17" s="194" t="s">
        <v>286</v>
      </c>
      <c r="BQ17" s="74" t="s">
        <v>75</v>
      </c>
    </row>
    <row r="18" spans="1:69" ht="14.25" hidden="1" customHeight="1" x14ac:dyDescent="0.25">
      <c r="B18" s="52" t="s">
        <v>187</v>
      </c>
      <c r="C18" s="86" t="s">
        <v>34</v>
      </c>
      <c r="D18" s="101">
        <v>4</v>
      </c>
      <c r="E18" s="227" t="s">
        <v>133</v>
      </c>
      <c r="F18" s="141" t="s">
        <v>238</v>
      </c>
      <c r="G18" s="83" t="s">
        <v>161</v>
      </c>
      <c r="H18" s="83" t="s">
        <v>279</v>
      </c>
      <c r="I18" s="81" t="s">
        <v>171</v>
      </c>
      <c r="J18" s="83" t="s">
        <v>171</v>
      </c>
      <c r="K18" s="260" t="s">
        <v>172</v>
      </c>
      <c r="L18" s="136"/>
      <c r="M18" s="24"/>
      <c r="N18" s="24"/>
      <c r="O18" s="23" t="s">
        <v>38</v>
      </c>
      <c r="P18" s="94" t="s">
        <v>122</v>
      </c>
      <c r="AF18" s="72"/>
      <c r="AG18" s="53"/>
      <c r="AH18" s="23"/>
      <c r="AJ18" s="74" t="s">
        <v>185</v>
      </c>
      <c r="AK18" s="74" t="s">
        <v>185</v>
      </c>
      <c r="AL18" s="54" t="s">
        <v>75</v>
      </c>
      <c r="AN18" s="74" t="s">
        <v>75</v>
      </c>
      <c r="AO18" s="74" t="s">
        <v>75</v>
      </c>
      <c r="AR18" s="105" t="s">
        <v>187</v>
      </c>
      <c r="AS18" s="74" t="s">
        <v>75</v>
      </c>
      <c r="AT18" s="54" t="s">
        <v>75</v>
      </c>
      <c r="AV18" s="52" t="s">
        <v>187</v>
      </c>
      <c r="AW18" s="45" t="s">
        <v>75</v>
      </c>
      <c r="AX18" s="54" t="s">
        <v>75</v>
      </c>
      <c r="AZ18" s="52" t="s">
        <v>187</v>
      </c>
      <c r="BA18" s="74" t="s">
        <v>75</v>
      </c>
      <c r="BB18" s="74" t="s">
        <v>75</v>
      </c>
      <c r="BD18" s="23"/>
      <c r="BE18" s="74" t="s">
        <v>75</v>
      </c>
      <c r="BF18" s="23"/>
      <c r="BI18" s="74" t="s">
        <v>75</v>
      </c>
      <c r="BJ18" s="74" t="s">
        <v>75</v>
      </c>
      <c r="BM18" s="74" t="s">
        <v>75</v>
      </c>
      <c r="BP18" s="52" t="s">
        <v>187</v>
      </c>
      <c r="BQ18" s="74" t="s">
        <v>308</v>
      </c>
    </row>
    <row r="19" spans="1:69" x14ac:dyDescent="0.25">
      <c r="B19" s="74" t="s">
        <v>75</v>
      </c>
      <c r="C19" s="84" t="s">
        <v>34</v>
      </c>
      <c r="D19" s="101">
        <v>3</v>
      </c>
      <c r="E19" s="228" t="s">
        <v>60</v>
      </c>
      <c r="F19" s="141" t="s">
        <v>238</v>
      </c>
      <c r="G19" s="83" t="s">
        <v>156</v>
      </c>
      <c r="H19" s="83" t="s">
        <v>278</v>
      </c>
      <c r="I19" s="81" t="s">
        <v>277</v>
      </c>
      <c r="J19" s="83" t="s">
        <v>99</v>
      </c>
      <c r="K19" s="261" t="s">
        <v>98</v>
      </c>
      <c r="L19" s="136">
        <v>6641746587</v>
      </c>
      <c r="M19" s="24"/>
      <c r="N19" s="24"/>
      <c r="O19" s="23" t="s">
        <v>123</v>
      </c>
      <c r="P19" s="94" t="s">
        <v>122</v>
      </c>
      <c r="AF19" s="72"/>
      <c r="AG19" s="54" t="s">
        <v>75</v>
      </c>
      <c r="AH19" s="54" t="s">
        <v>75</v>
      </c>
      <c r="AJ19" s="74" t="s">
        <v>75</v>
      </c>
      <c r="AK19" s="74" t="s">
        <v>75</v>
      </c>
      <c r="AL19" s="54" t="s">
        <v>75</v>
      </c>
      <c r="AN19" s="74" t="s">
        <v>75</v>
      </c>
      <c r="AO19" s="74" t="s">
        <v>75</v>
      </c>
      <c r="AR19" s="74" t="s">
        <v>75</v>
      </c>
      <c r="AS19" s="74" t="s">
        <v>75</v>
      </c>
      <c r="AT19" s="54" t="s">
        <v>75</v>
      </c>
      <c r="AV19" s="45" t="s">
        <v>75</v>
      </c>
      <c r="AW19" s="45" t="s">
        <v>75</v>
      </c>
      <c r="AX19" s="54" t="s">
        <v>75</v>
      </c>
      <c r="AZ19" s="74" t="s">
        <v>75</v>
      </c>
      <c r="BA19" s="74" t="s">
        <v>75</v>
      </c>
      <c r="BB19" s="74" t="s">
        <v>75</v>
      </c>
      <c r="BD19" s="74" t="s">
        <v>75</v>
      </c>
      <c r="BE19" s="74" t="s">
        <v>75</v>
      </c>
      <c r="BF19" s="23"/>
      <c r="BH19" s="74" t="s">
        <v>75</v>
      </c>
      <c r="BI19" s="74" t="s">
        <v>75</v>
      </c>
      <c r="BJ19" s="74" t="s">
        <v>75</v>
      </c>
      <c r="BM19" s="74" t="s">
        <v>75</v>
      </c>
      <c r="BP19" s="74" t="s">
        <v>75</v>
      </c>
      <c r="BQ19" s="74" t="s">
        <v>75</v>
      </c>
    </row>
    <row r="20" spans="1:69" x14ac:dyDescent="0.25">
      <c r="B20" s="74" t="s">
        <v>75</v>
      </c>
      <c r="C20" s="84" t="s">
        <v>34</v>
      </c>
      <c r="D20" s="101">
        <v>1</v>
      </c>
      <c r="E20" s="228" t="s">
        <v>272</v>
      </c>
      <c r="F20" s="141" t="s">
        <v>238</v>
      </c>
      <c r="G20" s="83" t="s">
        <v>157</v>
      </c>
      <c r="H20" s="83" t="s">
        <v>100</v>
      </c>
      <c r="I20" s="81" t="s">
        <v>101</v>
      </c>
      <c r="J20" s="83" t="s">
        <v>101</v>
      </c>
      <c r="K20" s="260" t="s">
        <v>102</v>
      </c>
      <c r="L20" s="136" t="s">
        <v>103</v>
      </c>
      <c r="M20" s="24"/>
      <c r="N20" s="24"/>
      <c r="O20" s="23" t="s">
        <v>38</v>
      </c>
      <c r="P20" s="94"/>
      <c r="AF20" s="72"/>
      <c r="AG20" s="54" t="s">
        <v>75</v>
      </c>
      <c r="AH20" s="54" t="s">
        <v>75</v>
      </c>
      <c r="AJ20" s="74" t="s">
        <v>75</v>
      </c>
      <c r="AK20" s="74" t="s">
        <v>75</v>
      </c>
      <c r="AL20" s="54" t="s">
        <v>75</v>
      </c>
      <c r="AN20" s="74" t="s">
        <v>75</v>
      </c>
      <c r="AO20" s="74" t="s">
        <v>75</v>
      </c>
      <c r="AR20" s="74" t="s">
        <v>75</v>
      </c>
      <c r="AS20" s="74" t="s">
        <v>75</v>
      </c>
      <c r="AT20" s="54" t="s">
        <v>75</v>
      </c>
      <c r="AV20" s="45" t="s">
        <v>75</v>
      </c>
      <c r="AW20" s="45" t="s">
        <v>75</v>
      </c>
      <c r="AX20" s="54" t="s">
        <v>75</v>
      </c>
      <c r="AZ20" s="74" t="s">
        <v>75</v>
      </c>
      <c r="BA20" s="74" t="s">
        <v>75</v>
      </c>
      <c r="BB20" s="74" t="s">
        <v>75</v>
      </c>
      <c r="BD20" s="74" t="s">
        <v>75</v>
      </c>
      <c r="BE20" s="74" t="s">
        <v>75</v>
      </c>
      <c r="BF20" s="23"/>
      <c r="BH20" s="74" t="s">
        <v>75</v>
      </c>
      <c r="BI20" s="74" t="s">
        <v>75</v>
      </c>
      <c r="BJ20" s="74" t="s">
        <v>75</v>
      </c>
      <c r="BM20" s="74" t="s">
        <v>75</v>
      </c>
      <c r="BP20" s="74" t="s">
        <v>75</v>
      </c>
      <c r="BQ20" s="74" t="s">
        <v>75</v>
      </c>
    </row>
    <row r="21" spans="1:69" x14ac:dyDescent="0.25">
      <c r="A21" s="132">
        <v>0.08</v>
      </c>
      <c r="B21" s="74" t="s">
        <v>75</v>
      </c>
      <c r="C21" s="86" t="s">
        <v>34</v>
      </c>
      <c r="D21" s="102">
        <v>2</v>
      </c>
      <c r="E21" s="228" t="s">
        <v>163</v>
      </c>
      <c r="F21" s="141" t="s">
        <v>238</v>
      </c>
      <c r="G21" s="83" t="s">
        <v>40</v>
      </c>
      <c r="H21" s="83" t="s">
        <v>41</v>
      </c>
      <c r="I21" s="81" t="s">
        <v>42</v>
      </c>
      <c r="J21" s="83" t="s">
        <v>43</v>
      </c>
      <c r="K21" s="261" t="s">
        <v>44</v>
      </c>
      <c r="L21" s="136" t="s">
        <v>45</v>
      </c>
      <c r="M21" s="38"/>
      <c r="N21" s="38"/>
      <c r="O21" s="39" t="s">
        <v>216</v>
      </c>
      <c r="P21" s="94" t="s">
        <v>122</v>
      </c>
      <c r="AF21" s="72"/>
      <c r="AG21" s="54" t="s">
        <v>75</v>
      </c>
      <c r="AH21" s="54" t="s">
        <v>75</v>
      </c>
      <c r="AJ21" s="125" t="s">
        <v>75</v>
      </c>
      <c r="AK21" s="74" t="s">
        <v>75</v>
      </c>
      <c r="AL21" s="54" t="s">
        <v>75</v>
      </c>
      <c r="AN21" s="74" t="s">
        <v>75</v>
      </c>
      <c r="AO21" s="74" t="s">
        <v>75</v>
      </c>
      <c r="AR21" s="74" t="s">
        <v>75</v>
      </c>
      <c r="AS21" s="74" t="s">
        <v>75</v>
      </c>
      <c r="AT21" s="54" t="s">
        <v>75</v>
      </c>
      <c r="AV21" s="45" t="s">
        <v>75</v>
      </c>
      <c r="AW21" s="45" t="s">
        <v>75</v>
      </c>
      <c r="AX21" s="54" t="s">
        <v>75</v>
      </c>
      <c r="AZ21" s="74" t="s">
        <v>75</v>
      </c>
      <c r="BA21" s="74" t="s">
        <v>75</v>
      </c>
      <c r="BB21" s="74" t="s">
        <v>75</v>
      </c>
      <c r="BD21" s="74" t="s">
        <v>75</v>
      </c>
      <c r="BE21" s="74" t="s">
        <v>75</v>
      </c>
      <c r="BF21" s="23"/>
      <c r="BH21" s="74" t="s">
        <v>75</v>
      </c>
      <c r="BI21" s="74" t="s">
        <v>75</v>
      </c>
      <c r="BJ21" s="74" t="s">
        <v>75</v>
      </c>
      <c r="BM21" s="74" t="s">
        <v>75</v>
      </c>
      <c r="BP21" s="74" t="s">
        <v>75</v>
      </c>
      <c r="BQ21" s="74" t="s">
        <v>75</v>
      </c>
    </row>
    <row r="22" spans="1:69" x14ac:dyDescent="0.25">
      <c r="A22" s="132">
        <v>0.08</v>
      </c>
      <c r="B22" s="74" t="s">
        <v>75</v>
      </c>
      <c r="C22" s="86" t="s">
        <v>34</v>
      </c>
      <c r="D22" s="102">
        <v>5</v>
      </c>
      <c r="E22" s="228" t="s">
        <v>164</v>
      </c>
      <c r="F22" s="141" t="s">
        <v>238</v>
      </c>
      <c r="G22" s="83" t="s">
        <v>47</v>
      </c>
      <c r="H22" s="83" t="s">
        <v>48</v>
      </c>
      <c r="I22" s="81" t="s">
        <v>49</v>
      </c>
      <c r="J22" s="83" t="s">
        <v>50</v>
      </c>
      <c r="K22" s="260" t="s">
        <v>44</v>
      </c>
      <c r="L22" s="136" t="s">
        <v>45</v>
      </c>
      <c r="M22" s="38"/>
      <c r="N22" s="38"/>
      <c r="O22" s="39" t="s">
        <v>216</v>
      </c>
      <c r="P22" s="94" t="s">
        <v>122</v>
      </c>
      <c r="AF22" s="72"/>
      <c r="AG22" s="54" t="s">
        <v>75</v>
      </c>
      <c r="AH22" s="73" t="s">
        <v>132</v>
      </c>
      <c r="AJ22" s="105"/>
      <c r="AK22" s="74"/>
      <c r="AL22" s="54" t="s">
        <v>75</v>
      </c>
      <c r="AN22" s="74" t="s">
        <v>75</v>
      </c>
      <c r="AO22" s="74" t="s">
        <v>75</v>
      </c>
      <c r="AR22" s="74" t="s">
        <v>75</v>
      </c>
      <c r="AS22" s="74" t="s">
        <v>75</v>
      </c>
      <c r="AT22" s="54" t="s">
        <v>75</v>
      </c>
      <c r="AV22" s="45" t="s">
        <v>75</v>
      </c>
      <c r="AW22" s="45" t="s">
        <v>75</v>
      </c>
      <c r="AX22" s="54" t="s">
        <v>75</v>
      </c>
      <c r="AZ22" s="74" t="s">
        <v>75</v>
      </c>
      <c r="BA22" s="74" t="s">
        <v>75</v>
      </c>
      <c r="BB22" s="74" t="s">
        <v>75</v>
      </c>
      <c r="BD22" s="74" t="s">
        <v>75</v>
      </c>
      <c r="BE22" s="74" t="s">
        <v>75</v>
      </c>
      <c r="BF22" s="23"/>
      <c r="BH22" s="74" t="s">
        <v>75</v>
      </c>
      <c r="BI22" s="74" t="s">
        <v>75</v>
      </c>
      <c r="BJ22" s="74" t="s">
        <v>75</v>
      </c>
      <c r="BM22" s="74" t="s">
        <v>75</v>
      </c>
      <c r="BP22" s="74" t="s">
        <v>75</v>
      </c>
      <c r="BQ22" s="74" t="s">
        <v>75</v>
      </c>
    </row>
    <row r="23" spans="1:69" hidden="1" x14ac:dyDescent="0.25">
      <c r="A23" s="24"/>
      <c r="B23" s="74" t="s">
        <v>75</v>
      </c>
      <c r="C23" s="128" t="s">
        <v>34</v>
      </c>
      <c r="D23" s="101">
        <v>4</v>
      </c>
      <c r="E23" s="228" t="s">
        <v>124</v>
      </c>
      <c r="F23" s="140" t="s">
        <v>187</v>
      </c>
      <c r="G23" s="83" t="s">
        <v>158</v>
      </c>
      <c r="H23" s="83" t="s">
        <v>105</v>
      </c>
      <c r="I23" s="81" t="s">
        <v>104</v>
      </c>
      <c r="J23" s="83" t="s">
        <v>104</v>
      </c>
      <c r="K23" s="260" t="s">
        <v>106</v>
      </c>
      <c r="L23" s="136" t="s">
        <v>122</v>
      </c>
      <c r="M23" s="24"/>
      <c r="N23" s="24"/>
      <c r="O23" s="23" t="s">
        <v>38</v>
      </c>
      <c r="P23" s="94" t="s">
        <v>122</v>
      </c>
      <c r="AF23" s="72"/>
      <c r="AG23" s="54" t="s">
        <v>75</v>
      </c>
      <c r="AH23" s="195" t="s">
        <v>75</v>
      </c>
      <c r="AJ23" s="125" t="s">
        <v>75</v>
      </c>
      <c r="AK23" s="125" t="s">
        <v>75</v>
      </c>
      <c r="AL23" s="129" t="s">
        <v>75</v>
      </c>
      <c r="AN23" s="125" t="s">
        <v>75</v>
      </c>
      <c r="AO23" s="125" t="s">
        <v>75</v>
      </c>
      <c r="AR23" s="172" t="s">
        <v>75</v>
      </c>
      <c r="AS23" s="74" t="s">
        <v>75</v>
      </c>
      <c r="AT23" s="54" t="s">
        <v>75</v>
      </c>
      <c r="AV23" s="45" t="s">
        <v>75</v>
      </c>
      <c r="AW23" s="45" t="s">
        <v>75</v>
      </c>
      <c r="AX23" s="54" t="s">
        <v>75</v>
      </c>
      <c r="AZ23" s="74" t="s">
        <v>75</v>
      </c>
      <c r="BA23" s="74" t="s">
        <v>75</v>
      </c>
      <c r="BD23" s="74" t="s">
        <v>75</v>
      </c>
      <c r="BE23" s="74" t="s">
        <v>75</v>
      </c>
      <c r="BF23" s="23"/>
      <c r="BH23" s="74" t="s">
        <v>75</v>
      </c>
      <c r="BI23" s="74" t="s">
        <v>75</v>
      </c>
      <c r="BJ23" s="74" t="s">
        <v>75</v>
      </c>
      <c r="BM23" s="74" t="s">
        <v>75</v>
      </c>
    </row>
    <row r="24" spans="1:69" x14ac:dyDescent="0.25">
      <c r="A24" s="133">
        <v>0.08</v>
      </c>
      <c r="B24" s="74" t="s">
        <v>75</v>
      </c>
      <c r="C24" s="87" t="s">
        <v>34</v>
      </c>
      <c r="D24" s="102">
        <v>5</v>
      </c>
      <c r="E24" s="228" t="s">
        <v>165</v>
      </c>
      <c r="F24" s="141" t="s">
        <v>238</v>
      </c>
      <c r="G24" s="83" t="s">
        <v>153</v>
      </c>
      <c r="H24" s="81" t="s">
        <v>36</v>
      </c>
      <c r="I24" s="81" t="s">
        <v>36</v>
      </c>
      <c r="J24" s="83" t="s">
        <v>36</v>
      </c>
      <c r="K24" s="261" t="s">
        <v>37</v>
      </c>
      <c r="L24" s="136">
        <v>6644067733</v>
      </c>
      <c r="M24" s="38"/>
      <c r="N24" s="38" t="s">
        <v>38</v>
      </c>
      <c r="O24" s="50" t="s">
        <v>122</v>
      </c>
      <c r="P24" s="94" t="s">
        <v>226</v>
      </c>
      <c r="AF24" s="72"/>
      <c r="AG24" s="54" t="s">
        <v>75</v>
      </c>
      <c r="AH24" s="195" t="s">
        <v>75</v>
      </c>
      <c r="AJ24" s="125" t="s">
        <v>75</v>
      </c>
      <c r="AK24" s="125" t="s">
        <v>75</v>
      </c>
      <c r="AL24" s="129" t="s">
        <v>75</v>
      </c>
      <c r="AN24" s="125" t="s">
        <v>75</v>
      </c>
      <c r="AO24" s="125" t="s">
        <v>75</v>
      </c>
      <c r="AR24" s="172" t="s">
        <v>75</v>
      </c>
      <c r="AS24" s="74" t="s">
        <v>75</v>
      </c>
      <c r="AT24" s="54" t="s">
        <v>75</v>
      </c>
      <c r="AV24" s="45" t="s">
        <v>75</v>
      </c>
      <c r="AW24" s="45" t="s">
        <v>75</v>
      </c>
      <c r="AX24" s="54" t="s">
        <v>75</v>
      </c>
      <c r="AZ24" s="74" t="s">
        <v>75</v>
      </c>
      <c r="BA24" s="74" t="s">
        <v>75</v>
      </c>
      <c r="BB24" s="74" t="s">
        <v>75</v>
      </c>
      <c r="BD24" s="74" t="s">
        <v>75</v>
      </c>
      <c r="BE24" s="74" t="s">
        <v>75</v>
      </c>
      <c r="BF24" s="23"/>
      <c r="BH24" s="74" t="s">
        <v>75</v>
      </c>
      <c r="BI24" s="74" t="s">
        <v>75</v>
      </c>
      <c r="BJ24" s="74" t="s">
        <v>75</v>
      </c>
      <c r="BL24" s="74" t="s">
        <v>75</v>
      </c>
      <c r="BM24" s="74" t="s">
        <v>75</v>
      </c>
      <c r="BP24" s="74" t="s">
        <v>75</v>
      </c>
      <c r="BQ24" s="74" t="s">
        <v>75</v>
      </c>
    </row>
    <row r="25" spans="1:69" hidden="1" x14ac:dyDescent="0.25">
      <c r="A25" s="132">
        <v>0.08</v>
      </c>
      <c r="B25" s="74" t="s">
        <v>75</v>
      </c>
      <c r="C25" s="87" t="s">
        <v>34</v>
      </c>
      <c r="D25" s="102">
        <v>2</v>
      </c>
      <c r="E25" s="227" t="s">
        <v>51</v>
      </c>
      <c r="F25" s="141" t="s">
        <v>238</v>
      </c>
      <c r="G25" s="83" t="s">
        <v>154</v>
      </c>
      <c r="H25" s="83" t="s">
        <v>52</v>
      </c>
      <c r="I25" s="81" t="s">
        <v>53</v>
      </c>
      <c r="J25" s="83" t="s">
        <v>53</v>
      </c>
      <c r="K25" s="261" t="s">
        <v>131</v>
      </c>
      <c r="L25" s="136" t="s">
        <v>54</v>
      </c>
      <c r="M25" s="38"/>
      <c r="N25" s="38"/>
      <c r="O25" s="38" t="s">
        <v>38</v>
      </c>
      <c r="P25" s="94" t="s">
        <v>122</v>
      </c>
      <c r="AF25" s="72"/>
      <c r="AG25" s="54" t="s">
        <v>75</v>
      </c>
      <c r="AH25" s="196" t="s">
        <v>132</v>
      </c>
      <c r="AJ25" s="125" t="s">
        <v>75</v>
      </c>
      <c r="AK25" s="125" t="s">
        <v>75</v>
      </c>
      <c r="AL25" s="197" t="s">
        <v>132</v>
      </c>
      <c r="AN25" s="125" t="s">
        <v>75</v>
      </c>
      <c r="AO25" s="125" t="s">
        <v>75</v>
      </c>
      <c r="AR25" s="172" t="s">
        <v>75</v>
      </c>
      <c r="AS25" s="74" t="s">
        <v>75</v>
      </c>
      <c r="AT25" s="73" t="s">
        <v>132</v>
      </c>
      <c r="AV25" s="45" t="s">
        <v>75</v>
      </c>
      <c r="AW25" s="45" t="s">
        <v>75</v>
      </c>
      <c r="AX25" s="54" t="s">
        <v>132</v>
      </c>
      <c r="AZ25" s="74" t="s">
        <v>75</v>
      </c>
      <c r="BA25" s="74" t="s">
        <v>75</v>
      </c>
      <c r="BB25" s="74" t="s">
        <v>75</v>
      </c>
      <c r="BD25" s="74" t="s">
        <v>75</v>
      </c>
      <c r="BE25" s="74" t="s">
        <v>75</v>
      </c>
      <c r="BF25" s="23"/>
      <c r="BH25" s="74" t="s">
        <v>75</v>
      </c>
      <c r="BI25" s="74" t="s">
        <v>75</v>
      </c>
      <c r="BJ25" s="74" t="s">
        <v>75</v>
      </c>
      <c r="BM25" s="74" t="s">
        <v>75</v>
      </c>
      <c r="BP25" s="74" t="s">
        <v>75</v>
      </c>
      <c r="BQ25" s="74" t="s">
        <v>75</v>
      </c>
    </row>
    <row r="26" spans="1:69" hidden="1" x14ac:dyDescent="0.25">
      <c r="A26" s="131">
        <v>0.16</v>
      </c>
      <c r="B26" s="74" t="s">
        <v>75</v>
      </c>
      <c r="C26" s="86" t="s">
        <v>34</v>
      </c>
      <c r="D26" s="102">
        <v>5</v>
      </c>
      <c r="E26" s="228" t="s">
        <v>271</v>
      </c>
      <c r="F26" s="140"/>
      <c r="G26" s="83" t="s">
        <v>232</v>
      </c>
      <c r="H26" s="83"/>
      <c r="I26" s="81" t="s">
        <v>237</v>
      </c>
      <c r="J26" s="83"/>
      <c r="K26" s="261" t="s">
        <v>230</v>
      </c>
      <c r="L26" s="136" t="s">
        <v>229</v>
      </c>
      <c r="M26" s="24"/>
      <c r="N26" s="24"/>
      <c r="O26" s="24" t="s">
        <v>77</v>
      </c>
      <c r="P26" s="137"/>
      <c r="AF26" s="32"/>
      <c r="AG26" s="23"/>
      <c r="AH26" s="60"/>
      <c r="AR26" s="172" t="s">
        <v>75</v>
      </c>
      <c r="AS26" s="74" t="s">
        <v>75</v>
      </c>
      <c r="AT26" s="24"/>
      <c r="AV26" s="45" t="s">
        <v>75</v>
      </c>
      <c r="AW26" s="45" t="s">
        <v>75</v>
      </c>
      <c r="AX26" s="54" t="s">
        <v>75</v>
      </c>
      <c r="AZ26" s="74" t="s">
        <v>75</v>
      </c>
      <c r="BA26" s="74" t="s">
        <v>75</v>
      </c>
      <c r="BD26" s="74" t="s">
        <v>75</v>
      </c>
      <c r="BE26" s="74" t="s">
        <v>75</v>
      </c>
      <c r="BF26" s="23"/>
      <c r="BH26" s="74" t="s">
        <v>75</v>
      </c>
      <c r="BI26" s="74" t="s">
        <v>75</v>
      </c>
      <c r="BJ26" s="184" t="s">
        <v>187</v>
      </c>
      <c r="BM26" s="74" t="s">
        <v>75</v>
      </c>
    </row>
    <row r="27" spans="1:69" hidden="1" x14ac:dyDescent="0.25">
      <c r="A27" s="154">
        <v>0.16</v>
      </c>
      <c r="B27" s="74" t="s">
        <v>75</v>
      </c>
      <c r="C27" s="86" t="s">
        <v>34</v>
      </c>
      <c r="D27" s="102">
        <v>5</v>
      </c>
      <c r="E27" s="228" t="s">
        <v>270</v>
      </c>
      <c r="F27" s="140"/>
      <c r="G27" s="83" t="s">
        <v>235</v>
      </c>
      <c r="H27" s="83"/>
      <c r="I27" s="81" t="s">
        <v>236</v>
      </c>
      <c r="J27" s="83"/>
      <c r="K27" s="261" t="s">
        <v>230</v>
      </c>
      <c r="L27" s="136" t="s">
        <v>229</v>
      </c>
      <c r="M27" s="24"/>
      <c r="N27" s="24"/>
      <c r="O27" s="24" t="s">
        <v>77</v>
      </c>
      <c r="P27" s="137"/>
      <c r="AJ27" s="171"/>
      <c r="AR27" s="172" t="s">
        <v>75</v>
      </c>
      <c r="AS27" s="74" t="s">
        <v>75</v>
      </c>
      <c r="AT27" s="24"/>
      <c r="AV27" s="45" t="s">
        <v>75</v>
      </c>
      <c r="AW27" s="45" t="s">
        <v>75</v>
      </c>
      <c r="AX27" s="54" t="s">
        <v>75</v>
      </c>
      <c r="AZ27" s="74" t="s">
        <v>75</v>
      </c>
      <c r="BA27" s="74" t="s">
        <v>75</v>
      </c>
      <c r="BD27" s="74" t="s">
        <v>75</v>
      </c>
      <c r="BE27" s="74" t="s">
        <v>75</v>
      </c>
      <c r="BF27" s="23"/>
      <c r="BH27" s="74" t="s">
        <v>75</v>
      </c>
      <c r="BI27" s="74" t="s">
        <v>75</v>
      </c>
      <c r="BJ27" s="184" t="s">
        <v>187</v>
      </c>
      <c r="BM27" s="74" t="s">
        <v>75</v>
      </c>
    </row>
    <row r="28" spans="1:69" x14ac:dyDescent="0.25">
      <c r="A28" s="154"/>
      <c r="B28" s="74" t="s">
        <v>75</v>
      </c>
      <c r="C28" s="86" t="s">
        <v>34</v>
      </c>
      <c r="D28" s="102"/>
      <c r="E28" s="204" t="s">
        <v>275</v>
      </c>
      <c r="F28" s="140"/>
      <c r="G28" s="83" t="s">
        <v>281</v>
      </c>
      <c r="H28" s="81" t="s">
        <v>276</v>
      </c>
      <c r="I28" s="81" t="s">
        <v>276</v>
      </c>
      <c r="J28" s="81" t="s">
        <v>276</v>
      </c>
      <c r="K28" s="261" t="s">
        <v>280</v>
      </c>
      <c r="L28" s="136"/>
      <c r="M28" s="24"/>
      <c r="N28" s="24"/>
      <c r="O28" s="24"/>
      <c r="P28" s="137"/>
      <c r="AJ28" s="171"/>
      <c r="AR28" s="172"/>
      <c r="AS28" s="74"/>
      <c r="AT28" s="24"/>
      <c r="AV28" s="45"/>
      <c r="AW28" s="45"/>
      <c r="AX28" s="54"/>
      <c r="AZ28" s="74"/>
      <c r="BA28" s="74"/>
      <c r="BD28" s="74"/>
      <c r="BE28" s="74"/>
      <c r="BF28" s="23"/>
      <c r="BH28" s="74"/>
      <c r="BI28" s="74"/>
      <c r="BJ28" s="184"/>
      <c r="BP28" s="74" t="s">
        <v>75</v>
      </c>
      <c r="BQ28" s="74" t="s">
        <v>75</v>
      </c>
    </row>
    <row r="29" spans="1:69" hidden="1" x14ac:dyDescent="0.25">
      <c r="A29" s="154"/>
      <c r="B29" s="74" t="s">
        <v>75</v>
      </c>
      <c r="C29" s="86" t="s">
        <v>34</v>
      </c>
      <c r="D29" s="102"/>
      <c r="E29" s="227" t="s">
        <v>274</v>
      </c>
      <c r="F29" s="140"/>
      <c r="G29" s="83" t="s">
        <v>283</v>
      </c>
      <c r="H29" s="83"/>
      <c r="I29" s="81" t="s">
        <v>282</v>
      </c>
      <c r="J29" s="83" t="s">
        <v>282</v>
      </c>
      <c r="K29" s="261"/>
      <c r="L29" s="136"/>
      <c r="M29" s="24"/>
      <c r="N29" s="24"/>
      <c r="O29" s="24"/>
      <c r="P29" s="137"/>
      <c r="AJ29" s="171"/>
      <c r="AR29" s="74"/>
      <c r="AS29" s="74"/>
      <c r="AT29" s="24"/>
      <c r="AV29" s="45"/>
      <c r="AW29" s="45"/>
      <c r="AX29" s="54"/>
      <c r="AZ29" s="74"/>
      <c r="BA29" s="74"/>
      <c r="BD29" s="74"/>
      <c r="BE29" s="74"/>
      <c r="BF29" s="23"/>
      <c r="BH29" s="74"/>
      <c r="BI29" s="74"/>
      <c r="BJ29" s="184"/>
      <c r="BM29" s="188" t="s">
        <v>285</v>
      </c>
      <c r="BP29" s="74" t="s">
        <v>75</v>
      </c>
      <c r="BQ29" s="74" t="s">
        <v>308</v>
      </c>
    </row>
    <row r="30" spans="1:69" x14ac:dyDescent="0.25">
      <c r="A30" s="155">
        <v>0.16</v>
      </c>
      <c r="B30" s="74" t="s">
        <v>75</v>
      </c>
      <c r="C30" s="134" t="s">
        <v>55</v>
      </c>
      <c r="D30" s="103">
        <v>3</v>
      </c>
      <c r="E30" s="228" t="s">
        <v>166</v>
      </c>
      <c r="F30" s="140"/>
      <c r="G30" s="83" t="s">
        <v>160</v>
      </c>
      <c r="H30" s="83" t="s">
        <v>58</v>
      </c>
      <c r="I30" s="81" t="s">
        <v>57</v>
      </c>
      <c r="J30" s="83" t="s">
        <v>290</v>
      </c>
      <c r="K30" s="261" t="s">
        <v>130</v>
      </c>
      <c r="L30" s="136">
        <v>6196610480</v>
      </c>
      <c r="M30" s="38"/>
      <c r="N30" s="38"/>
      <c r="O30" s="24" t="s">
        <v>241</v>
      </c>
      <c r="P30" s="94" t="s">
        <v>122</v>
      </c>
      <c r="AF30" s="130"/>
      <c r="AG30" s="129" t="s">
        <v>75</v>
      </c>
      <c r="AH30" s="129" t="s">
        <v>75</v>
      </c>
      <c r="AJ30" s="125" t="s">
        <v>75</v>
      </c>
      <c r="AK30" s="125" t="s">
        <v>75</v>
      </c>
      <c r="AL30" s="129" t="s">
        <v>75</v>
      </c>
      <c r="AN30" s="125" t="s">
        <v>75</v>
      </c>
      <c r="AO30" s="125" t="s">
        <v>75</v>
      </c>
      <c r="AR30" s="74" t="s">
        <v>75</v>
      </c>
      <c r="AS30" s="74" t="s">
        <v>75</v>
      </c>
      <c r="AT30" s="135" t="s">
        <v>75</v>
      </c>
      <c r="AV30" s="45" t="s">
        <v>75</v>
      </c>
      <c r="AW30" s="45" t="s">
        <v>75</v>
      </c>
      <c r="AX30" s="54" t="s">
        <v>75</v>
      </c>
      <c r="AZ30" s="74" t="s">
        <v>75</v>
      </c>
      <c r="BA30" s="74" t="s">
        <v>75</v>
      </c>
      <c r="BB30" s="74" t="s">
        <v>75</v>
      </c>
      <c r="BD30" s="74" t="s">
        <v>75</v>
      </c>
      <c r="BE30" s="74" t="s">
        <v>75</v>
      </c>
      <c r="BF30" s="23"/>
      <c r="BH30" s="74" t="s">
        <v>75</v>
      </c>
      <c r="BI30" s="74" t="s">
        <v>75</v>
      </c>
      <c r="BJ30" s="74" t="s">
        <v>75</v>
      </c>
      <c r="BM30" s="74" t="s">
        <v>75</v>
      </c>
      <c r="BP30" s="74" t="s">
        <v>75</v>
      </c>
      <c r="BQ30" s="74" t="s">
        <v>75</v>
      </c>
    </row>
    <row r="31" spans="1:69" x14ac:dyDescent="0.25">
      <c r="A31" s="157">
        <v>0.08</v>
      </c>
      <c r="B31" s="52" t="s">
        <v>187</v>
      </c>
      <c r="C31" s="134" t="s">
        <v>55</v>
      </c>
      <c r="D31" s="103">
        <v>2</v>
      </c>
      <c r="E31" s="228" t="s">
        <v>167</v>
      </c>
      <c r="F31" s="141" t="s">
        <v>238</v>
      </c>
      <c r="G31" s="83" t="s">
        <v>159</v>
      </c>
      <c r="H31" s="83" t="s">
        <v>107</v>
      </c>
      <c r="I31" s="81" t="s">
        <v>108</v>
      </c>
      <c r="J31" s="83" t="s">
        <v>109</v>
      </c>
      <c r="K31" s="260" t="s">
        <v>110</v>
      </c>
      <c r="L31" s="136">
        <v>13104151870</v>
      </c>
      <c r="M31" s="24"/>
      <c r="N31" s="24"/>
      <c r="O31" s="24" t="s">
        <v>79</v>
      </c>
      <c r="P31" s="198" t="s">
        <v>122</v>
      </c>
      <c r="AF31" s="130"/>
      <c r="AG31" s="153" t="s">
        <v>132</v>
      </c>
      <c r="AH31" s="129" t="s">
        <v>75</v>
      </c>
      <c r="AJ31" s="95" t="s">
        <v>187</v>
      </c>
      <c r="AK31" s="125" t="s">
        <v>75</v>
      </c>
      <c r="AL31" s="129" t="s">
        <v>75</v>
      </c>
      <c r="AN31" s="95" t="s">
        <v>187</v>
      </c>
      <c r="AO31" s="125" t="s">
        <v>75</v>
      </c>
      <c r="AR31" s="105" t="s">
        <v>187</v>
      </c>
      <c r="AS31" s="125" t="s">
        <v>75</v>
      </c>
      <c r="AT31" s="129" t="s">
        <v>75</v>
      </c>
      <c r="AV31" s="52" t="s">
        <v>187</v>
      </c>
      <c r="AW31" s="199" t="s">
        <v>75</v>
      </c>
      <c r="AX31" s="54" t="s">
        <v>75</v>
      </c>
      <c r="AZ31" s="52" t="s">
        <v>187</v>
      </c>
      <c r="BA31" s="74" t="s">
        <v>75</v>
      </c>
      <c r="BB31" s="74" t="s">
        <v>75</v>
      </c>
      <c r="BD31" s="23"/>
      <c r="BE31" s="74" t="s">
        <v>75</v>
      </c>
      <c r="BF31" s="23"/>
      <c r="BI31" s="74" t="s">
        <v>75</v>
      </c>
      <c r="BJ31" s="74" t="s">
        <v>75</v>
      </c>
      <c r="BM31" s="74" t="s">
        <v>75</v>
      </c>
      <c r="BP31" s="52" t="s">
        <v>187</v>
      </c>
      <c r="BQ31" s="188" t="s">
        <v>305</v>
      </c>
    </row>
    <row r="32" spans="1:69" x14ac:dyDescent="0.25">
      <c r="B32" s="74" t="s">
        <v>75</v>
      </c>
      <c r="C32" t="s">
        <v>34</v>
      </c>
      <c r="D32" s="102">
        <v>3</v>
      </c>
      <c r="E32" s="228" t="s">
        <v>301</v>
      </c>
      <c r="G32" s="257" t="s">
        <v>298</v>
      </c>
      <c r="H32" s="257" t="s">
        <v>293</v>
      </c>
      <c r="I32" s="257" t="s">
        <v>294</v>
      </c>
      <c r="J32" s="257" t="s">
        <v>294</v>
      </c>
      <c r="K32" s="262" t="s">
        <v>307</v>
      </c>
      <c r="P32" s="198" t="s">
        <v>122</v>
      </c>
      <c r="BP32" s="74" t="s">
        <v>75</v>
      </c>
      <c r="BQ32" s="74" t="s">
        <v>75</v>
      </c>
    </row>
    <row r="33" spans="1:73" x14ac:dyDescent="0.25">
      <c r="B33" s="74" t="s">
        <v>75</v>
      </c>
      <c r="C33" t="s">
        <v>34</v>
      </c>
      <c r="D33" s="102">
        <v>5</v>
      </c>
      <c r="E33" s="228" t="s">
        <v>302</v>
      </c>
      <c r="G33" s="258" t="s">
        <v>299</v>
      </c>
      <c r="H33" s="258" t="s">
        <v>294</v>
      </c>
      <c r="I33" s="258" t="s">
        <v>294</v>
      </c>
      <c r="J33" s="258">
        <v>12345678</v>
      </c>
      <c r="K33" s="262" t="s">
        <v>307</v>
      </c>
      <c r="O33" s="200"/>
      <c r="P33" s="198" t="s">
        <v>122</v>
      </c>
      <c r="AJ33" s="171"/>
      <c r="BP33" s="74" t="s">
        <v>75</v>
      </c>
      <c r="BQ33" s="74" t="s">
        <v>75</v>
      </c>
    </row>
    <row r="34" spans="1:73" x14ac:dyDescent="0.25">
      <c r="A34" s="69"/>
      <c r="B34" s="93" t="s">
        <v>75</v>
      </c>
      <c r="C34" s="69" t="s">
        <v>34</v>
      </c>
      <c r="D34" s="254">
        <v>5</v>
      </c>
      <c r="E34" s="255" t="s">
        <v>292</v>
      </c>
      <c r="F34" s="256"/>
      <c r="G34" s="259" t="s">
        <v>300</v>
      </c>
      <c r="H34" s="259" t="s">
        <v>295</v>
      </c>
      <c r="I34" s="259" t="s">
        <v>296</v>
      </c>
      <c r="J34" s="259" t="s">
        <v>297</v>
      </c>
      <c r="K34" s="263" t="s">
        <v>303</v>
      </c>
      <c r="L34" s="69"/>
      <c r="M34" s="69"/>
      <c r="N34" s="69"/>
      <c r="O34" s="69"/>
      <c r="P34" s="94" t="s">
        <v>122</v>
      </c>
      <c r="BP34" s="74" t="s">
        <v>75</v>
      </c>
      <c r="BQ34" s="74" t="s">
        <v>75</v>
      </c>
    </row>
    <row r="35" spans="1:73" x14ac:dyDescent="0.25">
      <c r="O35" s="95"/>
      <c r="P35" s="106"/>
    </row>
    <row r="36" spans="1:73" x14ac:dyDescent="0.25">
      <c r="P36" s="106"/>
    </row>
    <row r="37" spans="1:73" x14ac:dyDescent="0.25">
      <c r="H37" s="215" t="s">
        <v>22</v>
      </c>
      <c r="I37" s="216"/>
      <c r="J37" s="217"/>
      <c r="P37" s="106"/>
    </row>
    <row r="38" spans="1:73" x14ac:dyDescent="0.25">
      <c r="H38" s="9" t="s">
        <v>23</v>
      </c>
      <c r="I38" s="10"/>
      <c r="J38" s="5"/>
    </row>
    <row r="39" spans="1:73" ht="15.75" x14ac:dyDescent="0.25">
      <c r="H39" s="9" t="s">
        <v>24</v>
      </c>
      <c r="I39" s="10"/>
      <c r="J39" s="5"/>
      <c r="K39" t="s">
        <v>290</v>
      </c>
      <c r="BP39" s="206"/>
      <c r="BQ39" s="207"/>
      <c r="BR39" s="207"/>
      <c r="BS39" s="208"/>
      <c r="BT39" s="207"/>
      <c r="BU39" s="207"/>
    </row>
    <row r="40" spans="1:73" x14ac:dyDescent="0.25">
      <c r="H40" s="9" t="s">
        <v>25</v>
      </c>
      <c r="I40" s="10"/>
      <c r="J40" s="5"/>
    </row>
    <row r="41" spans="1:73" x14ac:dyDescent="0.25">
      <c r="H41" s="9" t="s">
        <v>26</v>
      </c>
      <c r="I41" s="10"/>
      <c r="J41" s="5"/>
    </row>
    <row r="42" spans="1:73" x14ac:dyDescent="0.25">
      <c r="H42" s="11" t="s">
        <v>27</v>
      </c>
      <c r="I42" s="12"/>
      <c r="J42" s="8"/>
    </row>
    <row r="44" spans="1:73" x14ac:dyDescent="0.25">
      <c r="H44" s="2"/>
      <c r="I44" s="3" t="s">
        <v>19</v>
      </c>
      <c r="J44" s="28"/>
    </row>
    <row r="45" spans="1:73" x14ac:dyDescent="0.25">
      <c r="H45" s="4"/>
      <c r="I45" s="25" t="s">
        <v>20</v>
      </c>
      <c r="J45" s="24"/>
    </row>
    <row r="46" spans="1:73" x14ac:dyDescent="0.25">
      <c r="H46" s="6"/>
      <c r="I46" s="7" t="s">
        <v>21</v>
      </c>
      <c r="J46" s="27"/>
    </row>
    <row r="48" spans="1:73" x14ac:dyDescent="0.25">
      <c r="G48" s="95"/>
      <c r="H48" s="95"/>
      <c r="I48" s="95"/>
      <c r="J48" s="95"/>
    </row>
    <row r="49" spans="7:10" x14ac:dyDescent="0.25">
      <c r="G49" s="201"/>
      <c r="H49" s="202"/>
      <c r="I49" s="201"/>
      <c r="J49" s="203"/>
    </row>
    <row r="1048573" spans="46:46" x14ac:dyDescent="0.25">
      <c r="AT1048573" s="54" t="s">
        <v>75</v>
      </c>
    </row>
  </sheetData>
  <autoFilter ref="B4:BR31" xr:uid="{9CD989F3-ACB6-4F6B-87DA-101F63A0719F}">
    <sortState xmlns:xlrd2="http://schemas.microsoft.com/office/spreadsheetml/2017/richdata2" ref="B5:BR31">
      <sortCondition ref="C4"/>
    </sortState>
  </autoFilter>
  <mergeCells count="16">
    <mergeCell ref="BT3:BW3"/>
    <mergeCell ref="BY3:CB3"/>
    <mergeCell ref="H37:J37"/>
    <mergeCell ref="AJ3:AM3"/>
    <mergeCell ref="Q3:U3"/>
    <mergeCell ref="V3:Z3"/>
    <mergeCell ref="AA3:AE3"/>
    <mergeCell ref="AF3:AI3"/>
    <mergeCell ref="BP3:BS3"/>
    <mergeCell ref="BH3:BK3"/>
    <mergeCell ref="BL3:BO3"/>
    <mergeCell ref="AN3:AQ3"/>
    <mergeCell ref="AR3:AU3"/>
    <mergeCell ref="AV3:AY3"/>
    <mergeCell ref="AZ3:BC3"/>
    <mergeCell ref="BD3:BG3"/>
  </mergeCells>
  <conditionalFormatting sqref="E5:E26 E30:E34">
    <cfRule type="duplicateValues" dxfId="32" priority="16"/>
    <cfRule type="duplicateValues" dxfId="31" priority="17"/>
    <cfRule type="duplicateValues" dxfId="30" priority="18"/>
  </conditionalFormatting>
  <hyperlinks>
    <hyperlink ref="K21" r:id="rId1" xr:uid="{477A2903-2B30-422A-8289-C4F798D9CB70}"/>
    <hyperlink ref="K22" r:id="rId2" xr:uid="{2893EF08-7555-4FE0-AC41-AB5E9E90D5B8}"/>
    <hyperlink ref="K8" r:id="rId3" xr:uid="{7B430892-6F77-4164-9491-6BB016FCA0DB}"/>
    <hyperlink ref="K17" r:id="rId4" xr:uid="{2F75A91F-3307-46F6-B47E-8E59133EB7A5}"/>
    <hyperlink ref="K19" r:id="rId5" xr:uid="{9D2F1D68-BF82-4337-A1D0-497F98FBB861}"/>
    <hyperlink ref="K23" r:id="rId6" xr:uid="{8525B639-6A65-45EE-A77E-48B74A5CC01B}"/>
    <hyperlink ref="K31" r:id="rId7" xr:uid="{B01278BB-FFB1-4F42-A818-DCE75B25DE56}"/>
    <hyperlink ref="K7" r:id="rId8" xr:uid="{A86912EE-9AE2-4635-9EC4-4C9FB3943526}"/>
    <hyperlink ref="K6" r:id="rId9" xr:uid="{FDD22D6B-A7C5-4A9E-BC5C-F5DD49E2C348}"/>
    <hyperlink ref="K30" r:id="rId10" xr:uid="{6D2343A7-BEBA-49F8-866F-00A32414B3DA}"/>
    <hyperlink ref="K20" r:id="rId11" xr:uid="{0525C2D2-792D-4A7A-B63C-28614817E4B7}"/>
    <hyperlink ref="K13" r:id="rId12" xr:uid="{916E93EC-8DDD-49D4-B64D-150509910370}"/>
    <hyperlink ref="K10" r:id="rId13" xr:uid="{EE6040CA-3E6F-4A57-B54C-30BCC985363A}"/>
    <hyperlink ref="K25" r:id="rId14" xr:uid="{B635005D-D1C9-497E-AC8B-83375B431DC3}"/>
    <hyperlink ref="K18" r:id="rId15" xr:uid="{FD767710-C8E9-4FD8-AD14-EDB86A8E2334}"/>
    <hyperlink ref="K15" r:id="rId16" xr:uid="{DB3D4ED5-84B3-4AF5-ABF4-2E1390427DFA}"/>
    <hyperlink ref="K24" r:id="rId17" xr:uid="{365AAE24-7170-4B01-8620-996073B19069}"/>
    <hyperlink ref="K9" r:id="rId18" xr:uid="{2EBF3B71-E115-4BE8-B1E0-EEAE17407535}"/>
    <hyperlink ref="K5" r:id="rId19" xr:uid="{758297C2-C6E8-4F12-BEF6-162C4111F023}"/>
    <hyperlink ref="K14" r:id="rId20" xr:uid="{EA39C823-E3EF-41EA-B3ED-CD66A4327B87}"/>
    <hyperlink ref="K11" r:id="rId21" xr:uid="{BFDA4D29-F45A-43D0-999A-EDD8658229D3}"/>
    <hyperlink ref="K12" r:id="rId22" xr:uid="{5CB383F6-1586-4712-B417-DEAEDA85FEF2}"/>
    <hyperlink ref="K26:K27" r:id="rId23" display="Parapastelestodootay@gmail.com" xr:uid="{35972897-9DBF-4950-A047-AB1B6BEEA5E0}"/>
    <hyperlink ref="K16" r:id="rId24" xr:uid="{6F0F7E6E-2679-436D-BBA4-36A9AAAA2CFA}"/>
    <hyperlink ref="K32" r:id="rId25" xr:uid="{CDAD268E-6837-46EB-BB0B-A196EAF65BEE}"/>
    <hyperlink ref="K33" r:id="rId26" xr:uid="{95D7C169-69FD-46E8-B51D-9602BE5C7347}"/>
  </hyperlinks>
  <pageMargins left="0.7" right="0.7" top="0.75" bottom="0.75" header="0.3" footer="0.3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9B05-90E9-46A7-8D98-29958A54B8D6}">
  <sheetPr codeName="Hoja2">
    <tabColor theme="3" tint="0.499984740745262"/>
  </sheetPr>
  <dimension ref="A1:Z34"/>
  <sheetViews>
    <sheetView showGridLines="0" workbookViewId="0">
      <selection activeCell="E34" sqref="E34"/>
    </sheetView>
  </sheetViews>
  <sheetFormatPr baseColWidth="10" defaultRowHeight="15" x14ac:dyDescent="0.25"/>
  <cols>
    <col min="1" max="1" width="2.140625" customWidth="1"/>
    <col min="2" max="2" width="12" customWidth="1"/>
    <col min="3" max="3" width="61.42578125" customWidth="1"/>
    <col min="4" max="4" width="57.42578125" customWidth="1"/>
    <col min="5" max="5" width="12" customWidth="1"/>
    <col min="6" max="6" width="19.42578125" hidden="1" customWidth="1"/>
    <col min="7" max="7" width="14.42578125" hidden="1" customWidth="1"/>
    <col min="8" max="8" width="26.28515625" hidden="1" customWidth="1"/>
    <col min="9" max="10" width="11.42578125" hidden="1" customWidth="1"/>
    <col min="11" max="11" width="16.85546875" hidden="1" customWidth="1"/>
    <col min="12" max="14" width="0" hidden="1" customWidth="1"/>
  </cols>
  <sheetData>
    <row r="1" spans="2:26" x14ac:dyDescent="0.25">
      <c r="F1" s="210" t="s">
        <v>134</v>
      </c>
      <c r="G1" s="211"/>
      <c r="H1" s="211"/>
      <c r="I1" s="211"/>
      <c r="J1" s="211"/>
      <c r="K1" s="211"/>
      <c r="L1" s="211"/>
      <c r="M1" s="211"/>
      <c r="N1" s="212"/>
      <c r="O1" s="213">
        <v>2026</v>
      </c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spans="2:26" ht="30.75" customHeight="1" x14ac:dyDescent="0.25">
      <c r="B2" s="64" t="s">
        <v>29</v>
      </c>
      <c r="C2" s="40" t="s">
        <v>1</v>
      </c>
      <c r="D2" s="40" t="s">
        <v>74</v>
      </c>
      <c r="E2" s="170" t="s">
        <v>30</v>
      </c>
      <c r="F2" s="70">
        <v>45748</v>
      </c>
      <c r="G2" s="63">
        <v>45778</v>
      </c>
      <c r="H2" s="63">
        <v>45809</v>
      </c>
      <c r="I2" s="63">
        <v>45839</v>
      </c>
      <c r="J2" s="63">
        <v>45870</v>
      </c>
      <c r="K2" s="63">
        <v>45901</v>
      </c>
      <c r="L2" s="63">
        <v>45931</v>
      </c>
      <c r="M2" s="63">
        <v>45962</v>
      </c>
      <c r="N2" s="63">
        <v>45992</v>
      </c>
      <c r="O2" s="40" t="s">
        <v>10</v>
      </c>
      <c r="P2" s="40" t="s">
        <v>15</v>
      </c>
      <c r="Q2" s="40" t="s">
        <v>16</v>
      </c>
      <c r="R2" s="40" t="s">
        <v>17</v>
      </c>
      <c r="S2" s="40" t="s">
        <v>210</v>
      </c>
      <c r="T2" s="40" t="s">
        <v>174</v>
      </c>
      <c r="U2" s="40" t="s">
        <v>175</v>
      </c>
      <c r="V2" s="40" t="s">
        <v>176</v>
      </c>
      <c r="W2" s="40" t="s">
        <v>177</v>
      </c>
      <c r="X2" s="40" t="s">
        <v>178</v>
      </c>
      <c r="Y2" s="40" t="s">
        <v>179</v>
      </c>
      <c r="Z2" s="40" t="s">
        <v>180</v>
      </c>
    </row>
    <row r="3" spans="2:26" s="151" customFormat="1" hidden="1" x14ac:dyDescent="0.25">
      <c r="B3" s="233" t="s">
        <v>240</v>
      </c>
      <c r="C3" s="233" t="s">
        <v>68</v>
      </c>
      <c r="D3" s="238" t="s">
        <v>135</v>
      </c>
      <c r="E3" s="233"/>
      <c r="F3" s="239" t="s">
        <v>75</v>
      </c>
      <c r="G3" s="239" t="s">
        <v>75</v>
      </c>
      <c r="H3" s="239" t="s">
        <v>75</v>
      </c>
      <c r="I3" s="239" t="s">
        <v>75</v>
      </c>
      <c r="J3" s="239" t="s">
        <v>75</v>
      </c>
      <c r="K3" s="239" t="s">
        <v>75</v>
      </c>
      <c r="L3" s="239" t="s">
        <v>75</v>
      </c>
      <c r="M3" s="239" t="s">
        <v>75</v>
      </c>
      <c r="N3" s="239" t="s">
        <v>75</v>
      </c>
    </row>
    <row r="4" spans="2:26" s="151" customFormat="1" hidden="1" x14ac:dyDescent="0.25">
      <c r="B4" s="149" t="s">
        <v>143</v>
      </c>
      <c r="C4" s="234" t="s">
        <v>65</v>
      </c>
      <c r="D4" s="237" t="s">
        <v>189</v>
      </c>
      <c r="E4" s="149"/>
      <c r="F4" s="148"/>
      <c r="G4" s="240" t="s">
        <v>75</v>
      </c>
      <c r="H4" s="240" t="s">
        <v>75</v>
      </c>
      <c r="N4" s="148"/>
    </row>
    <row r="5" spans="2:26" s="151" customFormat="1" hidden="1" x14ac:dyDescent="0.25">
      <c r="B5" s="149"/>
      <c r="C5" s="149" t="s">
        <v>66</v>
      </c>
      <c r="D5" s="237" t="s">
        <v>136</v>
      </c>
      <c r="E5" s="149"/>
      <c r="F5" s="148"/>
      <c r="N5" s="148"/>
    </row>
    <row r="6" spans="2:26" s="151" customFormat="1" hidden="1" x14ac:dyDescent="0.25">
      <c r="B6" s="149"/>
      <c r="C6" s="235" t="s">
        <v>67</v>
      </c>
      <c r="D6" s="237" t="s">
        <v>136</v>
      </c>
      <c r="E6" s="149"/>
      <c r="F6" s="148"/>
      <c r="N6" s="148"/>
    </row>
    <row r="7" spans="2:26" s="151" customFormat="1" hidden="1" x14ac:dyDescent="0.25">
      <c r="B7" s="149" t="s">
        <v>143</v>
      </c>
      <c r="C7" s="235" t="s">
        <v>64</v>
      </c>
      <c r="D7" s="237"/>
      <c r="E7" s="240" t="s">
        <v>75</v>
      </c>
      <c r="F7" s="239" t="s">
        <v>75</v>
      </c>
      <c r="G7" s="240" t="s">
        <v>75</v>
      </c>
      <c r="H7" s="240" t="s">
        <v>75</v>
      </c>
      <c r="I7" s="240" t="s">
        <v>75</v>
      </c>
      <c r="J7" s="240" t="s">
        <v>75</v>
      </c>
      <c r="K7" s="240" t="s">
        <v>75</v>
      </c>
      <c r="L7" s="240" t="s">
        <v>75</v>
      </c>
      <c r="M7" s="240" t="s">
        <v>75</v>
      </c>
      <c r="N7" s="240" t="s">
        <v>75</v>
      </c>
      <c r="O7" s="239" t="s">
        <v>75</v>
      </c>
    </row>
    <row r="8" spans="2:26" x14ac:dyDescent="0.25">
      <c r="B8" s="65"/>
      <c r="C8" s="230" t="s">
        <v>137</v>
      </c>
      <c r="D8" s="60" t="s">
        <v>191</v>
      </c>
      <c r="E8" s="144" t="s">
        <v>75</v>
      </c>
      <c r="F8" s="142" t="s">
        <v>75</v>
      </c>
      <c r="G8" s="45" t="s">
        <v>75</v>
      </c>
      <c r="H8" s="45" t="s">
        <v>75</v>
      </c>
      <c r="I8" s="45" t="s">
        <v>75</v>
      </c>
      <c r="J8" s="45" t="s">
        <v>75</v>
      </c>
      <c r="K8" s="45" t="s">
        <v>75</v>
      </c>
      <c r="L8" s="66"/>
      <c r="M8" s="66"/>
      <c r="N8" s="67"/>
    </row>
    <row r="9" spans="2:26" s="151" customFormat="1" hidden="1" x14ac:dyDescent="0.25">
      <c r="B9" s="236"/>
      <c r="C9" s="235" t="s">
        <v>309</v>
      </c>
      <c r="D9" s="237" t="s">
        <v>142</v>
      </c>
      <c r="E9" s="149"/>
      <c r="F9" s="148"/>
      <c r="N9" s="148"/>
    </row>
    <row r="10" spans="2:26" x14ac:dyDescent="0.25">
      <c r="B10" s="65" t="s">
        <v>76</v>
      </c>
      <c r="C10" s="230" t="s">
        <v>227</v>
      </c>
      <c r="D10" s="60"/>
      <c r="E10" s="45" t="s">
        <v>75</v>
      </c>
      <c r="F10" s="24"/>
      <c r="I10" s="45" t="s">
        <v>75</v>
      </c>
      <c r="J10" s="45" t="s">
        <v>75</v>
      </c>
      <c r="K10" s="45" t="s">
        <v>75</v>
      </c>
      <c r="L10" s="45" t="s">
        <v>75</v>
      </c>
      <c r="M10" s="45" t="s">
        <v>75</v>
      </c>
      <c r="N10" s="45" t="s">
        <v>75</v>
      </c>
    </row>
    <row r="11" spans="2:26" x14ac:dyDescent="0.25">
      <c r="B11" s="65"/>
      <c r="C11" s="230" t="s">
        <v>138</v>
      </c>
      <c r="D11" s="60" t="s">
        <v>191</v>
      </c>
      <c r="E11" s="144" t="s">
        <v>75</v>
      </c>
      <c r="F11" s="142" t="s">
        <v>75</v>
      </c>
      <c r="G11" s="45" t="s">
        <v>75</v>
      </c>
      <c r="H11" s="45" t="s">
        <v>75</v>
      </c>
      <c r="I11" s="45" t="s">
        <v>75</v>
      </c>
      <c r="J11" s="45" t="s">
        <v>75</v>
      </c>
      <c r="K11" s="45" t="s">
        <v>75</v>
      </c>
      <c r="L11" s="69"/>
      <c r="M11" s="69"/>
      <c r="N11" s="27"/>
    </row>
    <row r="12" spans="2:26" x14ac:dyDescent="0.25">
      <c r="B12" s="65"/>
      <c r="C12" s="230" t="s">
        <v>139</v>
      </c>
      <c r="D12" s="60" t="s">
        <v>192</v>
      </c>
      <c r="E12" s="144" t="s">
        <v>75</v>
      </c>
      <c r="F12" s="24"/>
      <c r="I12" s="45" t="s">
        <v>75</v>
      </c>
      <c r="J12" s="45" t="s">
        <v>75</v>
      </c>
      <c r="K12" s="45" t="s">
        <v>75</v>
      </c>
      <c r="N12" s="24"/>
    </row>
    <row r="13" spans="2:26" x14ac:dyDescent="0.25">
      <c r="B13" s="65"/>
      <c r="C13" s="230" t="s">
        <v>140</v>
      </c>
      <c r="D13" s="60" t="s">
        <v>192</v>
      </c>
      <c r="E13" s="144" t="s">
        <v>75</v>
      </c>
      <c r="F13" s="24"/>
      <c r="I13" s="45" t="s">
        <v>75</v>
      </c>
      <c r="J13" s="45" t="s">
        <v>75</v>
      </c>
      <c r="K13" s="45" t="s">
        <v>75</v>
      </c>
      <c r="N13" s="24"/>
    </row>
    <row r="14" spans="2:26" s="151" customFormat="1" hidden="1" x14ac:dyDescent="0.25">
      <c r="B14" s="236"/>
      <c r="C14" s="235" t="s">
        <v>311</v>
      </c>
      <c r="D14" s="237" t="s">
        <v>312</v>
      </c>
      <c r="E14" s="149"/>
      <c r="F14" s="148"/>
      <c r="I14" s="240" t="s">
        <v>75</v>
      </c>
      <c r="J14" s="240" t="s">
        <v>75</v>
      </c>
      <c r="N14" s="148"/>
    </row>
    <row r="15" spans="2:26" x14ac:dyDescent="0.25">
      <c r="B15" s="23" t="s">
        <v>76</v>
      </c>
      <c r="C15" s="230" t="s">
        <v>35</v>
      </c>
      <c r="D15" s="60"/>
      <c r="E15" s="45" t="s">
        <v>75</v>
      </c>
      <c r="F15" s="142" t="s">
        <v>75</v>
      </c>
      <c r="G15" s="45" t="s">
        <v>75</v>
      </c>
      <c r="H15" s="45" t="s">
        <v>75</v>
      </c>
      <c r="I15" s="45" t="s">
        <v>75</v>
      </c>
      <c r="J15" s="45" t="s">
        <v>75</v>
      </c>
      <c r="K15" s="45" t="s">
        <v>75</v>
      </c>
      <c r="L15" s="45" t="s">
        <v>75</v>
      </c>
      <c r="M15" s="45" t="s">
        <v>75</v>
      </c>
      <c r="N15" s="45" t="s">
        <v>75</v>
      </c>
      <c r="O15" s="142" t="s">
        <v>75</v>
      </c>
    </row>
    <row r="16" spans="2:26" x14ac:dyDescent="0.25">
      <c r="B16" s="60" t="s">
        <v>143</v>
      </c>
      <c r="C16" s="230" t="s">
        <v>39</v>
      </c>
      <c r="D16" s="60"/>
      <c r="E16" s="144" t="s">
        <v>75</v>
      </c>
      <c r="F16" s="142" t="s">
        <v>75</v>
      </c>
      <c r="G16" s="45" t="s">
        <v>75</v>
      </c>
      <c r="H16" s="45" t="s">
        <v>75</v>
      </c>
      <c r="I16" s="45" t="s">
        <v>75</v>
      </c>
      <c r="J16" s="45" t="s">
        <v>75</v>
      </c>
      <c r="K16" s="45" t="s">
        <v>75</v>
      </c>
      <c r="L16" s="45" t="s">
        <v>75</v>
      </c>
      <c r="M16" s="45" t="s">
        <v>75</v>
      </c>
      <c r="N16" s="45" t="s">
        <v>75</v>
      </c>
      <c r="O16" s="142" t="s">
        <v>75</v>
      </c>
    </row>
    <row r="17" spans="1:16" x14ac:dyDescent="0.25">
      <c r="B17" s="60" t="s">
        <v>143</v>
      </c>
      <c r="C17" s="230" t="s">
        <v>46</v>
      </c>
      <c r="D17" s="60"/>
      <c r="E17" s="144" t="s">
        <v>75</v>
      </c>
      <c r="F17" s="24"/>
      <c r="K17" s="45" t="s">
        <v>75</v>
      </c>
      <c r="L17" s="45" t="s">
        <v>75</v>
      </c>
      <c r="M17" s="45" t="s">
        <v>75</v>
      </c>
      <c r="N17" s="45" t="s">
        <v>75</v>
      </c>
      <c r="O17" s="142" t="s">
        <v>75</v>
      </c>
    </row>
    <row r="18" spans="1:16" s="151" customFormat="1" hidden="1" x14ac:dyDescent="0.25">
      <c r="B18" s="237"/>
      <c r="C18" s="235" t="s">
        <v>51</v>
      </c>
      <c r="D18" s="237" t="s">
        <v>136</v>
      </c>
      <c r="E18" s="149"/>
      <c r="F18" s="148"/>
      <c r="N18" s="148"/>
    </row>
    <row r="19" spans="1:16" s="151" customFormat="1" hidden="1" x14ac:dyDescent="0.25">
      <c r="B19" s="149" t="s">
        <v>76</v>
      </c>
      <c r="C19" s="235" t="s">
        <v>59</v>
      </c>
      <c r="D19" s="237"/>
      <c r="E19" s="149"/>
      <c r="F19" s="239" t="s">
        <v>75</v>
      </c>
      <c r="G19" s="240" t="s">
        <v>75</v>
      </c>
      <c r="H19" s="240" t="s">
        <v>75</v>
      </c>
      <c r="I19" s="240" t="s">
        <v>75</v>
      </c>
      <c r="J19" s="240" t="s">
        <v>75</v>
      </c>
      <c r="K19" s="240" t="s">
        <v>75</v>
      </c>
      <c r="L19" s="241">
        <v>45689</v>
      </c>
      <c r="M19" s="242"/>
      <c r="N19" s="243"/>
    </row>
    <row r="20" spans="1:16" s="151" customFormat="1" ht="15.75" hidden="1" x14ac:dyDescent="0.25">
      <c r="B20" s="149"/>
      <c r="C20" s="244" t="s">
        <v>133</v>
      </c>
      <c r="D20" s="237" t="s">
        <v>290</v>
      </c>
      <c r="E20" s="149"/>
      <c r="F20" s="148"/>
      <c r="N20" s="148"/>
    </row>
    <row r="21" spans="1:16" x14ac:dyDescent="0.25">
      <c r="B21" s="23" t="s">
        <v>76</v>
      </c>
      <c r="C21" s="230" t="s">
        <v>60</v>
      </c>
      <c r="D21" s="60"/>
      <c r="E21" s="45" t="s">
        <v>75</v>
      </c>
      <c r="F21" s="142" t="s">
        <v>75</v>
      </c>
      <c r="G21" s="45" t="s">
        <v>75</v>
      </c>
      <c r="H21" s="45" t="s">
        <v>75</v>
      </c>
      <c r="I21" s="45" t="s">
        <v>75</v>
      </c>
      <c r="J21" s="45" t="s">
        <v>75</v>
      </c>
      <c r="K21" s="45" t="s">
        <v>75</v>
      </c>
      <c r="L21" s="45" t="s">
        <v>75</v>
      </c>
      <c r="M21" s="45" t="s">
        <v>75</v>
      </c>
      <c r="N21" s="45" t="s">
        <v>75</v>
      </c>
    </row>
    <row r="22" spans="1:16" x14ac:dyDescent="0.25">
      <c r="B22" s="46"/>
      <c r="C22" s="230" t="s">
        <v>61</v>
      </c>
      <c r="D22" s="60" t="s">
        <v>141</v>
      </c>
      <c r="E22" s="23"/>
      <c r="F22" s="143"/>
      <c r="N22" s="24"/>
    </row>
    <row r="23" spans="1:16" s="151" customFormat="1" hidden="1" x14ac:dyDescent="0.25">
      <c r="B23" s="149"/>
      <c r="C23" s="235" t="s">
        <v>62</v>
      </c>
      <c r="D23" s="237" t="s">
        <v>142</v>
      </c>
      <c r="E23" s="149"/>
      <c r="F23" s="245"/>
      <c r="N23" s="148"/>
    </row>
    <row r="24" spans="1:16" x14ac:dyDescent="0.25">
      <c r="B24" s="23" t="s">
        <v>76</v>
      </c>
      <c r="C24" s="230" t="s">
        <v>63</v>
      </c>
      <c r="D24" s="60"/>
      <c r="E24" s="23"/>
      <c r="F24" s="142" t="s">
        <v>75</v>
      </c>
      <c r="G24" s="45" t="s">
        <v>75</v>
      </c>
      <c r="H24" s="45" t="s">
        <v>75</v>
      </c>
      <c r="I24" s="45" t="s">
        <v>75</v>
      </c>
      <c r="J24" s="45" t="s">
        <v>75</v>
      </c>
      <c r="K24" s="45" t="s">
        <v>75</v>
      </c>
      <c r="L24" s="45" t="s">
        <v>75</v>
      </c>
      <c r="M24" s="45" t="s">
        <v>75</v>
      </c>
      <c r="N24" s="67"/>
    </row>
    <row r="25" spans="1:16" x14ac:dyDescent="0.25">
      <c r="B25" s="23" t="s">
        <v>143</v>
      </c>
      <c r="C25" s="230" t="s">
        <v>56</v>
      </c>
      <c r="D25" s="60"/>
      <c r="E25" s="209" t="s">
        <v>187</v>
      </c>
      <c r="F25" s="144" t="s">
        <v>75</v>
      </c>
      <c r="G25" s="93" t="s">
        <v>75</v>
      </c>
      <c r="H25" s="93" t="s">
        <v>75</v>
      </c>
      <c r="I25" s="45" t="s">
        <v>75</v>
      </c>
      <c r="J25" s="45" t="s">
        <v>75</v>
      </c>
      <c r="K25" s="185" t="s">
        <v>269</v>
      </c>
      <c r="L25" s="69"/>
      <c r="M25" s="69" t="s">
        <v>290</v>
      </c>
      <c r="N25" s="27"/>
    </row>
    <row r="26" spans="1:16" x14ac:dyDescent="0.25">
      <c r="A26" s="24"/>
      <c r="B26" s="23" t="s">
        <v>76</v>
      </c>
      <c r="C26" s="231" t="s">
        <v>284</v>
      </c>
      <c r="E26" s="45" t="s">
        <v>75</v>
      </c>
      <c r="O26" s="142" t="s">
        <v>75</v>
      </c>
      <c r="P26" s="142" t="s">
        <v>75</v>
      </c>
    </row>
    <row r="27" spans="1:16" x14ac:dyDescent="0.25">
      <c r="A27" s="24"/>
      <c r="B27" s="23" t="s">
        <v>76</v>
      </c>
      <c r="C27" s="231" t="s">
        <v>291</v>
      </c>
      <c r="E27" s="45" t="s">
        <v>75</v>
      </c>
      <c r="F27" s="142" t="s">
        <v>75</v>
      </c>
      <c r="G27" s="142" t="s">
        <v>75</v>
      </c>
      <c r="H27" s="142" t="s">
        <v>75</v>
      </c>
      <c r="I27" s="142" t="s">
        <v>75</v>
      </c>
      <c r="J27" s="142" t="s">
        <v>75</v>
      </c>
      <c r="K27" s="142" t="s">
        <v>75</v>
      </c>
      <c r="L27" s="142" t="s">
        <v>75</v>
      </c>
      <c r="M27" s="142" t="s">
        <v>75</v>
      </c>
      <c r="N27" s="142" t="s">
        <v>75</v>
      </c>
      <c r="O27" s="142" t="s">
        <v>75</v>
      </c>
    </row>
    <row r="28" spans="1:16" x14ac:dyDescent="0.25">
      <c r="A28" s="24"/>
      <c r="B28" s="33" t="s">
        <v>76</v>
      </c>
      <c r="C28" s="232" t="s">
        <v>289</v>
      </c>
      <c r="D28" s="69"/>
      <c r="E28" s="45" t="s">
        <v>75</v>
      </c>
      <c r="F28" s="142" t="s">
        <v>75</v>
      </c>
      <c r="G28" s="142" t="s">
        <v>75</v>
      </c>
      <c r="H28" s="142" t="s">
        <v>75</v>
      </c>
      <c r="I28" s="142" t="s">
        <v>75</v>
      </c>
      <c r="J28" s="142" t="s">
        <v>75</v>
      </c>
      <c r="K28" s="142" t="s">
        <v>75</v>
      </c>
      <c r="L28" s="142" t="s">
        <v>75</v>
      </c>
      <c r="M28" s="142" t="s">
        <v>75</v>
      </c>
      <c r="N28" s="142" t="s">
        <v>75</v>
      </c>
      <c r="O28" s="142" t="s">
        <v>75</v>
      </c>
    </row>
    <row r="30" spans="1:16" ht="30" x14ac:dyDescent="0.25">
      <c r="C30" s="109" t="s">
        <v>190</v>
      </c>
      <c r="D30" s="108" t="s">
        <v>188</v>
      </c>
      <c r="E30" s="108" t="s">
        <v>193</v>
      </c>
    </row>
    <row r="31" spans="1:16" x14ac:dyDescent="0.25">
      <c r="C31" s="60" t="s">
        <v>56</v>
      </c>
      <c r="D31" s="126" t="s">
        <v>288</v>
      </c>
      <c r="E31" s="205">
        <v>2605</v>
      </c>
    </row>
    <row r="32" spans="1:16" x14ac:dyDescent="0.25">
      <c r="C32" s="23" t="s">
        <v>60</v>
      </c>
      <c r="D32" s="126" t="s">
        <v>10</v>
      </c>
      <c r="E32" s="158">
        <v>15517.26</v>
      </c>
    </row>
    <row r="33" spans="3:5" x14ac:dyDescent="0.25">
      <c r="C33" s="68" t="s">
        <v>59</v>
      </c>
      <c r="D33" s="174" t="s">
        <v>306</v>
      </c>
      <c r="E33" s="186">
        <v>15689.68</v>
      </c>
    </row>
    <row r="34" spans="3:5" x14ac:dyDescent="0.25">
      <c r="E34" s="138">
        <f>+SUM(E31:E33)</f>
        <v>33811.94</v>
      </c>
    </row>
  </sheetData>
  <autoFilter ref="B2:Z2" xr:uid="{BF699B05-90E9-46A7-8D98-29958A54B8D6}"/>
  <mergeCells count="2">
    <mergeCell ref="F1:N1"/>
    <mergeCell ref="O1:Z1"/>
  </mergeCells>
  <phoneticPr fontId="41" type="noConversion"/>
  <conditionalFormatting sqref="C10">
    <cfRule type="duplicateValues" dxfId="29" priority="16"/>
    <cfRule type="duplicateValues" dxfId="28" priority="17"/>
    <cfRule type="duplicateValues" dxfId="27" priority="18"/>
  </conditionalFormatting>
  <conditionalFormatting sqref="C20">
    <cfRule type="duplicateValues" dxfId="26" priority="19"/>
    <cfRule type="duplicateValues" dxfId="25" priority="20"/>
    <cfRule type="duplicateValues" dxfId="24" priority="21"/>
  </conditionalFormatting>
  <conditionalFormatting sqref="C2:D2">
    <cfRule type="duplicateValues" dxfId="23" priority="25"/>
    <cfRule type="duplicateValues" dxfId="22" priority="26"/>
    <cfRule type="duplicateValues" dxfId="21" priority="27"/>
  </conditionalFormatting>
  <conditionalFormatting sqref="O2:Z2">
    <cfRule type="duplicateValues" dxfId="20" priority="4"/>
    <cfRule type="duplicateValues" dxfId="19" priority="5"/>
    <cfRule type="duplicateValues" dxfId="18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B23E-02FC-4E60-B9D5-81A661DB513E}">
  <sheetPr codeName="Hoja3"/>
  <dimension ref="B2:AC24"/>
  <sheetViews>
    <sheetView showGridLines="0" workbookViewId="0">
      <selection activeCell="Y3" sqref="U3:Y23"/>
    </sheetView>
  </sheetViews>
  <sheetFormatPr baseColWidth="10" defaultRowHeight="15" outlineLevelCol="1" x14ac:dyDescent="0.25"/>
  <cols>
    <col min="2" max="2" width="9.140625" customWidth="1"/>
    <col min="3" max="3" width="62.7109375" bestFit="1" customWidth="1"/>
    <col min="4" max="14" width="3" hidden="1" customWidth="1" outlineLevel="1"/>
    <col min="15" max="15" width="4.28515625" hidden="1" customWidth="1" outlineLevel="1"/>
    <col min="16" max="16" width="5.7109375" hidden="1" customWidth="1" collapsed="1"/>
    <col min="17" max="28" width="4.42578125" customWidth="1" outlineLevel="1"/>
    <col min="29" max="29" width="7.5703125" customWidth="1"/>
  </cols>
  <sheetData>
    <row r="2" spans="2:29" ht="14.25" customHeight="1" x14ac:dyDescent="0.25">
      <c r="C2" s="42" t="s">
        <v>31</v>
      </c>
      <c r="D2" s="218">
        <v>2024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20"/>
      <c r="Q2" s="221">
        <v>2025</v>
      </c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3"/>
    </row>
    <row r="3" spans="2:29" x14ac:dyDescent="0.25">
      <c r="B3" s="71" t="s">
        <v>32</v>
      </c>
      <c r="C3" s="41" t="s">
        <v>33</v>
      </c>
      <c r="D3" s="20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  <c r="J3" s="20">
        <v>7</v>
      </c>
      <c r="K3" s="20">
        <v>8</v>
      </c>
      <c r="L3" s="20">
        <v>9</v>
      </c>
      <c r="M3" s="20">
        <v>10</v>
      </c>
      <c r="N3" s="20">
        <v>11</v>
      </c>
      <c r="O3" s="20">
        <v>12</v>
      </c>
      <c r="P3" s="22"/>
      <c r="Q3" s="43">
        <v>1</v>
      </c>
      <c r="R3" s="44">
        <v>2</v>
      </c>
      <c r="S3" s="44">
        <v>3</v>
      </c>
      <c r="T3" s="44">
        <v>4</v>
      </c>
      <c r="U3" s="79">
        <v>5</v>
      </c>
      <c r="V3" s="44">
        <v>6</v>
      </c>
      <c r="W3" s="43">
        <v>7</v>
      </c>
      <c r="X3" s="43">
        <v>8</v>
      </c>
      <c r="Y3" s="43">
        <v>9</v>
      </c>
      <c r="Z3" s="43">
        <v>10</v>
      </c>
      <c r="AA3" s="43">
        <v>11</v>
      </c>
      <c r="AB3" s="43">
        <v>12</v>
      </c>
    </row>
    <row r="4" spans="2:29" x14ac:dyDescent="0.25">
      <c r="B4" s="47" t="s">
        <v>73</v>
      </c>
      <c r="C4" s="55" t="s">
        <v>68</v>
      </c>
      <c r="Q4" s="72"/>
      <c r="R4" s="45" t="s">
        <v>75</v>
      </c>
      <c r="S4" s="77"/>
      <c r="T4" s="45" t="s">
        <v>75</v>
      </c>
    </row>
    <row r="5" spans="2:29" x14ac:dyDescent="0.25">
      <c r="B5" s="48" t="s">
        <v>72</v>
      </c>
      <c r="C5" s="36" t="s">
        <v>67</v>
      </c>
    </row>
    <row r="6" spans="2:29" x14ac:dyDescent="0.25">
      <c r="B6" s="48" t="s">
        <v>72</v>
      </c>
      <c r="C6" s="36" t="s">
        <v>66</v>
      </c>
    </row>
    <row r="7" spans="2:29" x14ac:dyDescent="0.25">
      <c r="B7" s="48" t="s">
        <v>72</v>
      </c>
      <c r="C7" s="36" t="s">
        <v>65</v>
      </c>
    </row>
    <row r="8" spans="2:29" x14ac:dyDescent="0.25">
      <c r="B8" s="49" t="s">
        <v>71</v>
      </c>
      <c r="C8" s="36" t="s">
        <v>64</v>
      </c>
    </row>
    <row r="9" spans="2:29" x14ac:dyDescent="0.25">
      <c r="B9" s="29" t="s">
        <v>70</v>
      </c>
      <c r="C9" s="36" t="s">
        <v>126</v>
      </c>
      <c r="Q9" s="45" t="s">
        <v>75</v>
      </c>
      <c r="R9" s="45" t="s">
        <v>75</v>
      </c>
      <c r="S9" s="45" t="s">
        <v>75</v>
      </c>
      <c r="T9" s="45" t="s">
        <v>75</v>
      </c>
    </row>
    <row r="10" spans="2:29" x14ac:dyDescent="0.25">
      <c r="B10" s="29" t="s">
        <v>70</v>
      </c>
      <c r="C10" s="36" t="s">
        <v>125</v>
      </c>
      <c r="Q10" s="45" t="s">
        <v>75</v>
      </c>
      <c r="R10" s="45" t="s">
        <v>75</v>
      </c>
      <c r="S10" s="45" t="s">
        <v>75</v>
      </c>
      <c r="T10" s="45" t="s">
        <v>75</v>
      </c>
    </row>
    <row r="11" spans="2:29" x14ac:dyDescent="0.25">
      <c r="B11" s="30" t="s">
        <v>69</v>
      </c>
      <c r="C11" s="36" t="s">
        <v>128</v>
      </c>
      <c r="Q11" s="45" t="s">
        <v>75</v>
      </c>
      <c r="R11" s="45" t="s">
        <v>75</v>
      </c>
      <c r="S11" s="45" t="s">
        <v>75</v>
      </c>
      <c r="T11" s="45" t="s">
        <v>75</v>
      </c>
    </row>
    <row r="12" spans="2:29" ht="15.75" x14ac:dyDescent="0.25">
      <c r="B12" s="30" t="s">
        <v>69</v>
      </c>
      <c r="C12" s="56" t="s">
        <v>129</v>
      </c>
      <c r="Q12" s="45" t="s">
        <v>75</v>
      </c>
      <c r="R12" s="45" t="s">
        <v>75</v>
      </c>
      <c r="S12" s="45" t="s">
        <v>75</v>
      </c>
      <c r="T12" s="45" t="s">
        <v>75</v>
      </c>
    </row>
    <row r="13" spans="2:29" x14ac:dyDescent="0.25">
      <c r="B13" s="30" t="s">
        <v>69</v>
      </c>
      <c r="C13" s="36" t="s">
        <v>127</v>
      </c>
      <c r="Q13" s="45" t="s">
        <v>75</v>
      </c>
      <c r="R13" s="45" t="s">
        <v>75</v>
      </c>
      <c r="S13" s="77"/>
      <c r="T13" s="45" t="s">
        <v>75</v>
      </c>
    </row>
    <row r="14" spans="2:29" ht="15.75" x14ac:dyDescent="0.25">
      <c r="B14" s="35" t="s">
        <v>34</v>
      </c>
      <c r="C14" s="58" t="s">
        <v>59</v>
      </c>
      <c r="Q14" s="45" t="s">
        <v>75</v>
      </c>
      <c r="R14" s="45" t="s">
        <v>75</v>
      </c>
      <c r="S14" s="45" t="s">
        <v>75</v>
      </c>
      <c r="T14" s="45" t="s">
        <v>75</v>
      </c>
    </row>
    <row r="15" spans="2:29" ht="15.75" x14ac:dyDescent="0.25">
      <c r="B15" s="35" t="s">
        <v>34</v>
      </c>
      <c r="C15" s="58" t="s">
        <v>133</v>
      </c>
    </row>
    <row r="16" spans="2:29" x14ac:dyDescent="0.25">
      <c r="B16" s="31" t="s">
        <v>34</v>
      </c>
      <c r="C16" s="59" t="s">
        <v>60</v>
      </c>
      <c r="Q16" s="45" t="s">
        <v>75</v>
      </c>
      <c r="R16" s="45" t="s">
        <v>75</v>
      </c>
      <c r="S16" s="45" t="s">
        <v>75</v>
      </c>
      <c r="T16" s="45" t="s">
        <v>75</v>
      </c>
    </row>
    <row r="17" spans="2:20" ht="15.75" x14ac:dyDescent="0.25">
      <c r="B17" s="31" t="s">
        <v>34</v>
      </c>
      <c r="C17" s="58" t="s">
        <v>162</v>
      </c>
      <c r="Q17" s="45" t="s">
        <v>75</v>
      </c>
      <c r="R17" s="45" t="s">
        <v>75</v>
      </c>
      <c r="S17" s="45" t="s">
        <v>75</v>
      </c>
      <c r="T17" s="45" t="s">
        <v>75</v>
      </c>
    </row>
    <row r="18" spans="2:20" x14ac:dyDescent="0.25">
      <c r="B18" s="35" t="s">
        <v>34</v>
      </c>
      <c r="C18" s="57" t="s">
        <v>39</v>
      </c>
      <c r="Q18" s="45" t="s">
        <v>75</v>
      </c>
      <c r="R18" s="45" t="s">
        <v>75</v>
      </c>
      <c r="S18" s="45" t="s">
        <v>75</v>
      </c>
      <c r="T18" s="45" t="s">
        <v>75</v>
      </c>
    </row>
    <row r="19" spans="2:20" x14ac:dyDescent="0.25">
      <c r="B19" s="35" t="s">
        <v>34</v>
      </c>
      <c r="C19" s="57" t="s">
        <v>46</v>
      </c>
      <c r="Q19" s="45" t="s">
        <v>75</v>
      </c>
      <c r="R19" s="45" t="s">
        <v>75</v>
      </c>
      <c r="S19" s="45" t="s">
        <v>75</v>
      </c>
      <c r="T19" s="45" t="s">
        <v>75</v>
      </c>
    </row>
    <row r="20" spans="2:20" ht="15.75" x14ac:dyDescent="0.25">
      <c r="B20" s="31" t="s">
        <v>34</v>
      </c>
      <c r="C20" s="58" t="s">
        <v>124</v>
      </c>
      <c r="Q20" s="45" t="s">
        <v>75</v>
      </c>
      <c r="R20" s="45" t="s">
        <v>75</v>
      </c>
      <c r="S20" s="45" t="s">
        <v>75</v>
      </c>
      <c r="T20" s="45" t="s">
        <v>75</v>
      </c>
    </row>
    <row r="21" spans="2:20" x14ac:dyDescent="0.25">
      <c r="B21" s="75" t="s">
        <v>34</v>
      </c>
      <c r="C21" s="76" t="s">
        <v>35</v>
      </c>
      <c r="Q21" s="45" t="s">
        <v>75</v>
      </c>
      <c r="R21" s="45" t="s">
        <v>75</v>
      </c>
      <c r="S21" s="45" t="s">
        <v>75</v>
      </c>
      <c r="T21" s="45" t="s">
        <v>75</v>
      </c>
    </row>
    <row r="22" spans="2:20" x14ac:dyDescent="0.25">
      <c r="B22" s="75" t="s">
        <v>34</v>
      </c>
      <c r="C22" s="76" t="s">
        <v>51</v>
      </c>
      <c r="Q22" s="45" t="s">
        <v>75</v>
      </c>
      <c r="R22" s="45" t="s">
        <v>75</v>
      </c>
      <c r="S22" s="45" t="s">
        <v>75</v>
      </c>
      <c r="T22" s="80" t="s">
        <v>132</v>
      </c>
    </row>
    <row r="23" spans="2:20" x14ac:dyDescent="0.25">
      <c r="B23" s="61" t="s">
        <v>55</v>
      </c>
      <c r="C23" s="76" t="s">
        <v>56</v>
      </c>
      <c r="Q23" s="45" t="s">
        <v>75</v>
      </c>
      <c r="R23" s="45" t="s">
        <v>75</v>
      </c>
      <c r="S23" s="45" t="s">
        <v>75</v>
      </c>
      <c r="T23" s="45" t="s">
        <v>75</v>
      </c>
    </row>
    <row r="24" spans="2:20" ht="15.75" x14ac:dyDescent="0.25">
      <c r="B24" s="62" t="s">
        <v>55</v>
      </c>
      <c r="C24" s="78" t="s">
        <v>63</v>
      </c>
      <c r="Q24" s="45" t="s">
        <v>75</v>
      </c>
      <c r="R24" s="45" t="s">
        <v>75</v>
      </c>
      <c r="S24" s="45" t="s">
        <v>75</v>
      </c>
      <c r="T24" s="45" t="s">
        <v>75</v>
      </c>
    </row>
  </sheetData>
  <autoFilter ref="B3:C3" xr:uid="{EA0CB23E-02FC-4E60-B9D5-81A661DB513E}">
    <sortState xmlns:xlrd2="http://schemas.microsoft.com/office/spreadsheetml/2017/richdata2" ref="B4:C24">
      <sortCondition ref="B3"/>
    </sortState>
  </autoFilter>
  <mergeCells count="2">
    <mergeCell ref="D2:P2"/>
    <mergeCell ref="Q2:AC2"/>
  </mergeCells>
  <conditionalFormatting sqref="C4:C8">
    <cfRule type="duplicateValues" dxfId="17" priority="10"/>
    <cfRule type="duplicateValues" dxfId="16" priority="11"/>
    <cfRule type="duplicateValues" dxfId="15" priority="12"/>
  </conditionalFormatting>
  <conditionalFormatting sqref="C7:C8">
    <cfRule type="duplicateValues" dxfId="14" priority="7"/>
    <cfRule type="duplicateValues" dxfId="13" priority="8"/>
    <cfRule type="duplicateValues" dxfId="12" priority="9"/>
  </conditionalFormatting>
  <conditionalFormatting sqref="C14:C19">
    <cfRule type="duplicateValues" dxfId="11" priority="4"/>
    <cfRule type="duplicateValues" dxfId="10" priority="5"/>
    <cfRule type="duplicateValues" dxfId="9" priority="6"/>
  </conditionalFormatting>
  <conditionalFormatting sqref="C20:C21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663E-8300-4592-8F97-D706006F8C02}">
  <sheetPr codeName="Hoja4"/>
  <dimension ref="B2:F27"/>
  <sheetViews>
    <sheetView showGridLines="0" workbookViewId="0">
      <selection activeCell="E9" sqref="C9:E9"/>
    </sheetView>
  </sheetViews>
  <sheetFormatPr baseColWidth="10" defaultRowHeight="15" x14ac:dyDescent="0.25"/>
  <cols>
    <col min="1" max="1" width="2.140625" customWidth="1"/>
    <col min="2" max="2" width="5.7109375" customWidth="1"/>
    <col min="3" max="3" width="60.85546875" bestFit="1" customWidth="1"/>
    <col min="4" max="6" width="11" style="95"/>
  </cols>
  <sheetData>
    <row r="2" spans="2:6" ht="15.75" x14ac:dyDescent="0.25">
      <c r="B2" s="104" t="s">
        <v>11</v>
      </c>
      <c r="C2" s="162" t="s">
        <v>1</v>
      </c>
      <c r="D2" s="18" t="s">
        <v>4</v>
      </c>
      <c r="E2" s="19" t="s">
        <v>5</v>
      </c>
      <c r="F2" s="19" t="s">
        <v>246</v>
      </c>
    </row>
    <row r="3" spans="2:6" x14ac:dyDescent="0.25">
      <c r="B3" s="51" t="s">
        <v>187</v>
      </c>
      <c r="C3" s="26" t="s">
        <v>68</v>
      </c>
      <c r="D3" s="163">
        <v>47201</v>
      </c>
      <c r="E3" s="164">
        <v>46068</v>
      </c>
      <c r="F3" s="164">
        <v>46742</v>
      </c>
    </row>
    <row r="4" spans="2:6" x14ac:dyDescent="0.25">
      <c r="B4" s="52" t="s">
        <v>187</v>
      </c>
      <c r="C4" s="159" t="s">
        <v>67</v>
      </c>
      <c r="D4" s="165">
        <v>47064</v>
      </c>
      <c r="E4" s="166">
        <v>47145</v>
      </c>
      <c r="F4" s="167"/>
    </row>
    <row r="5" spans="2:6" x14ac:dyDescent="0.25">
      <c r="B5" s="52" t="s">
        <v>187</v>
      </c>
      <c r="C5" s="160" t="s">
        <v>168</v>
      </c>
      <c r="D5" s="165">
        <v>44852</v>
      </c>
      <c r="E5" s="166">
        <v>45853</v>
      </c>
      <c r="F5" s="166">
        <v>47163</v>
      </c>
    </row>
    <row r="6" spans="2:6" x14ac:dyDescent="0.25">
      <c r="B6" s="52" t="s">
        <v>187</v>
      </c>
      <c r="C6" s="159" t="s">
        <v>169</v>
      </c>
      <c r="D6" s="165">
        <v>47397</v>
      </c>
      <c r="E6" s="166">
        <v>46053</v>
      </c>
      <c r="F6" s="166">
        <v>47163</v>
      </c>
    </row>
    <row r="7" spans="2:6" x14ac:dyDescent="0.25">
      <c r="B7" s="52" t="s">
        <v>187</v>
      </c>
      <c r="C7" s="159" t="s">
        <v>170</v>
      </c>
      <c r="D7" s="165">
        <v>46613</v>
      </c>
      <c r="E7" s="166">
        <v>45815</v>
      </c>
      <c r="F7" s="166">
        <v>47216</v>
      </c>
    </row>
    <row r="8" spans="2:6" x14ac:dyDescent="0.25">
      <c r="B8" s="74" t="s">
        <v>75</v>
      </c>
      <c r="C8" s="26" t="s">
        <v>126</v>
      </c>
      <c r="D8" s="165">
        <v>46124</v>
      </c>
      <c r="E8" s="166">
        <v>46067</v>
      </c>
      <c r="F8" s="167"/>
    </row>
    <row r="9" spans="2:6" x14ac:dyDescent="0.25">
      <c r="B9" s="74" t="s">
        <v>75</v>
      </c>
      <c r="C9" t="s">
        <v>227</v>
      </c>
      <c r="D9" s="165">
        <v>46004</v>
      </c>
      <c r="E9" s="166">
        <v>46005</v>
      </c>
      <c r="F9" s="167"/>
    </row>
    <row r="10" spans="2:6" x14ac:dyDescent="0.25">
      <c r="B10" s="74" t="s">
        <v>75</v>
      </c>
      <c r="C10" s="26" t="s">
        <v>181</v>
      </c>
      <c r="D10" s="165">
        <v>46030</v>
      </c>
      <c r="E10" s="166">
        <v>47265</v>
      </c>
      <c r="F10" s="167"/>
    </row>
    <row r="11" spans="2:6" x14ac:dyDescent="0.25">
      <c r="B11" s="74" t="s">
        <v>75</v>
      </c>
      <c r="C11" s="26" t="s">
        <v>125</v>
      </c>
      <c r="D11" s="165">
        <v>46964</v>
      </c>
      <c r="E11" s="166">
        <v>46669</v>
      </c>
      <c r="F11" s="167"/>
    </row>
    <row r="12" spans="2:6" x14ac:dyDescent="0.25">
      <c r="B12" s="74" t="s">
        <v>75</v>
      </c>
      <c r="C12" s="26" t="s">
        <v>128</v>
      </c>
      <c r="D12" s="165">
        <v>46964</v>
      </c>
      <c r="E12" s="166">
        <v>47145</v>
      </c>
      <c r="F12" s="167"/>
    </row>
    <row r="13" spans="2:6" ht="15.75" x14ac:dyDescent="0.25">
      <c r="B13" s="52" t="s">
        <v>187</v>
      </c>
      <c r="C13" s="26" t="s">
        <v>129</v>
      </c>
      <c r="D13" s="165">
        <v>47231</v>
      </c>
      <c r="E13" s="166">
        <v>46418</v>
      </c>
      <c r="F13" s="167"/>
    </row>
    <row r="14" spans="2:6" x14ac:dyDescent="0.25">
      <c r="B14" s="52" t="s">
        <v>187</v>
      </c>
      <c r="C14" s="26" t="s">
        <v>186</v>
      </c>
      <c r="D14" s="165">
        <v>46964</v>
      </c>
      <c r="E14" s="166">
        <v>46796</v>
      </c>
      <c r="F14" s="167"/>
    </row>
    <row r="15" spans="2:6" x14ac:dyDescent="0.25">
      <c r="B15" s="74" t="s">
        <v>75</v>
      </c>
      <c r="C15" s="26" t="s">
        <v>59</v>
      </c>
      <c r="D15" s="165">
        <v>46088</v>
      </c>
      <c r="E15" s="166">
        <v>46120</v>
      </c>
      <c r="F15" s="166">
        <v>46030</v>
      </c>
    </row>
    <row r="16" spans="2:6" x14ac:dyDescent="0.25">
      <c r="B16" s="52" t="s">
        <v>187</v>
      </c>
      <c r="C16" s="26" t="s">
        <v>133</v>
      </c>
      <c r="D16" s="165">
        <v>47267</v>
      </c>
      <c r="E16" s="165">
        <v>47267</v>
      </c>
      <c r="F16" s="166">
        <v>46030</v>
      </c>
    </row>
    <row r="17" spans="2:6" x14ac:dyDescent="0.25">
      <c r="B17" s="74" t="s">
        <v>75</v>
      </c>
      <c r="C17" s="26" t="s">
        <v>60</v>
      </c>
      <c r="D17" s="165">
        <v>46133</v>
      </c>
      <c r="E17" s="166">
        <v>47145</v>
      </c>
      <c r="F17" s="166">
        <v>46124</v>
      </c>
    </row>
    <row r="18" spans="2:6" x14ac:dyDescent="0.25">
      <c r="B18" s="74" t="s">
        <v>75</v>
      </c>
      <c r="C18" s="26" t="s">
        <v>162</v>
      </c>
      <c r="D18" s="165">
        <v>47064</v>
      </c>
      <c r="E18" s="166">
        <v>47139</v>
      </c>
      <c r="F18" s="167"/>
    </row>
    <row r="19" spans="2:6" x14ac:dyDescent="0.25">
      <c r="B19" s="74" t="s">
        <v>75</v>
      </c>
      <c r="C19" s="26" t="s">
        <v>163</v>
      </c>
      <c r="D19" s="165">
        <v>46881</v>
      </c>
      <c r="E19" s="166">
        <v>46259</v>
      </c>
      <c r="F19" s="166">
        <v>46819</v>
      </c>
    </row>
    <row r="20" spans="2:6" x14ac:dyDescent="0.25">
      <c r="B20" s="74" t="s">
        <v>75</v>
      </c>
      <c r="C20" s="26" t="s">
        <v>164</v>
      </c>
      <c r="D20" s="165">
        <v>46819</v>
      </c>
      <c r="E20" s="166">
        <v>46921</v>
      </c>
      <c r="F20" s="167"/>
    </row>
    <row r="21" spans="2:6" x14ac:dyDescent="0.25">
      <c r="B21" s="74" t="s">
        <v>75</v>
      </c>
      <c r="C21" s="26" t="s">
        <v>124</v>
      </c>
      <c r="D21" s="165">
        <v>46121</v>
      </c>
      <c r="E21" s="166">
        <v>46121</v>
      </c>
      <c r="F21" s="166">
        <v>46121</v>
      </c>
    </row>
    <row r="22" spans="2:6" x14ac:dyDescent="0.25">
      <c r="B22" s="74" t="s">
        <v>75</v>
      </c>
      <c r="C22" s="26" t="s">
        <v>165</v>
      </c>
      <c r="D22" s="165">
        <v>47211</v>
      </c>
      <c r="E22" s="166">
        <v>47211</v>
      </c>
      <c r="F22" s="167"/>
    </row>
    <row r="23" spans="2:6" x14ac:dyDescent="0.25">
      <c r="B23" s="74" t="s">
        <v>75</v>
      </c>
      <c r="C23" s="26" t="s">
        <v>51</v>
      </c>
      <c r="D23" s="165">
        <v>46168</v>
      </c>
      <c r="E23" s="166">
        <v>47069</v>
      </c>
      <c r="F23" s="167"/>
    </row>
    <row r="24" spans="2:6" x14ac:dyDescent="0.25">
      <c r="B24" s="74" t="s">
        <v>75</v>
      </c>
      <c r="C24" s="26" t="s">
        <v>234</v>
      </c>
      <c r="D24" s="165">
        <v>46196</v>
      </c>
      <c r="E24" s="167"/>
      <c r="F24" s="167"/>
    </row>
    <row r="25" spans="2:6" x14ac:dyDescent="0.25">
      <c r="B25" s="74" t="s">
        <v>75</v>
      </c>
      <c r="C25" s="26" t="s">
        <v>233</v>
      </c>
      <c r="D25" s="165">
        <v>46461</v>
      </c>
      <c r="E25" s="167"/>
      <c r="F25" s="167"/>
    </row>
    <row r="26" spans="2:6" x14ac:dyDescent="0.25">
      <c r="B26" s="74" t="s">
        <v>75</v>
      </c>
      <c r="C26" s="26" t="s">
        <v>166</v>
      </c>
      <c r="D26" s="165">
        <v>46587</v>
      </c>
      <c r="E26" s="166">
        <v>47211</v>
      </c>
      <c r="F26" s="167" t="s">
        <v>247</v>
      </c>
    </row>
    <row r="27" spans="2:6" x14ac:dyDescent="0.25">
      <c r="B27" s="156" t="s">
        <v>187</v>
      </c>
      <c r="C27" s="161" t="s">
        <v>167</v>
      </c>
      <c r="D27" s="168">
        <v>46966</v>
      </c>
      <c r="E27" s="169">
        <v>46966</v>
      </c>
      <c r="F27" s="169">
        <v>46964</v>
      </c>
    </row>
  </sheetData>
  <autoFilter ref="B2:F2" xr:uid="{AFB8663E-8300-4592-8F97-D706006F8C02}"/>
  <conditionalFormatting sqref="C2">
    <cfRule type="duplicateValues" dxfId="5" priority="4"/>
    <cfRule type="duplicateValues" dxfId="4" priority="5"/>
    <cfRule type="duplicateValues" dxfId="3" priority="6"/>
  </conditionalFormatting>
  <conditionalFormatting sqref="C26:C27 C3:C2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C7-B897-4A31-9F0B-259BA1815221}">
  <sheetPr codeName="Hoja5"/>
  <dimension ref="B43:F48"/>
  <sheetViews>
    <sheetView showGridLines="0" zoomScaleNormal="100" workbookViewId="0">
      <selection activeCell="P13" sqref="P13"/>
    </sheetView>
  </sheetViews>
  <sheetFormatPr baseColWidth="10" defaultRowHeight="15" x14ac:dyDescent="0.25"/>
  <cols>
    <col min="2" max="2" width="13.28515625" customWidth="1"/>
    <col min="3" max="3" width="6.85546875" customWidth="1"/>
  </cols>
  <sheetData>
    <row r="43" spans="2:6" ht="15.75" x14ac:dyDescent="0.25">
      <c r="B43" s="224" t="s">
        <v>217</v>
      </c>
      <c r="C43" s="225"/>
      <c r="D43" s="225"/>
      <c r="E43" s="225"/>
      <c r="F43" s="226"/>
    </row>
    <row r="44" spans="2:6" x14ac:dyDescent="0.25">
      <c r="B44" s="127" t="s">
        <v>218</v>
      </c>
      <c r="C44" s="28"/>
      <c r="D44" t="s">
        <v>222</v>
      </c>
      <c r="F44" s="24"/>
    </row>
    <row r="45" spans="2:6" x14ac:dyDescent="0.25">
      <c r="B45" s="127" t="s">
        <v>219</v>
      </c>
      <c r="C45" s="24">
        <f>+C44*5%</f>
        <v>0</v>
      </c>
      <c r="D45" t="s">
        <v>223</v>
      </c>
      <c r="F45" s="24"/>
    </row>
    <row r="46" spans="2:6" x14ac:dyDescent="0.25">
      <c r="B46" s="127" t="s">
        <v>220</v>
      </c>
      <c r="C46" s="24">
        <f>+C44-C45</f>
        <v>0</v>
      </c>
      <c r="D46" t="s">
        <v>224</v>
      </c>
      <c r="F46" s="24"/>
    </row>
    <row r="47" spans="2:6" x14ac:dyDescent="0.25">
      <c r="B47" s="127" t="s">
        <v>221</v>
      </c>
      <c r="C47" s="27"/>
      <c r="D47" t="s">
        <v>222</v>
      </c>
      <c r="F47" s="24"/>
    </row>
    <row r="48" spans="2:6" x14ac:dyDescent="0.25">
      <c r="B48" s="68"/>
      <c r="C48" s="27">
        <f>+C46-C47</f>
        <v>0</v>
      </c>
      <c r="D48" s="69" t="s">
        <v>225</v>
      </c>
      <c r="E48" s="69"/>
      <c r="F48" s="27"/>
    </row>
  </sheetData>
  <mergeCells count="1">
    <mergeCell ref="B43:F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F674-44B6-4CFE-9634-8D1C88635E70}">
  <sheetPr codeName="Hoja6"/>
  <dimension ref="B2:M18"/>
  <sheetViews>
    <sheetView showGridLines="0" workbookViewId="0">
      <selection activeCell="B12" sqref="B12"/>
    </sheetView>
  </sheetViews>
  <sheetFormatPr baseColWidth="10" defaultRowHeight="15" x14ac:dyDescent="0.25"/>
  <cols>
    <col min="2" max="2" width="9.42578125" customWidth="1"/>
    <col min="3" max="3" width="10.85546875" bestFit="1" customWidth="1"/>
    <col min="4" max="4" width="31.140625" bestFit="1" customWidth="1"/>
    <col min="5" max="5" width="25.85546875" bestFit="1" customWidth="1"/>
    <col min="6" max="6" width="40.140625" bestFit="1" customWidth="1"/>
    <col min="7" max="7" width="9.140625" bestFit="1" customWidth="1"/>
    <col min="8" max="9" width="9.85546875" customWidth="1"/>
    <col min="10" max="10" width="12.5703125" customWidth="1"/>
    <col min="11" max="11" width="16.140625" customWidth="1"/>
    <col min="12" max="12" width="14.42578125" bestFit="1" customWidth="1"/>
    <col min="13" max="13" width="46.42578125" customWidth="1"/>
  </cols>
  <sheetData>
    <row r="2" spans="2:13" ht="30" x14ac:dyDescent="0.25">
      <c r="B2" s="111" t="s">
        <v>194</v>
      </c>
      <c r="C2" s="111" t="s">
        <v>195</v>
      </c>
      <c r="D2" s="111" t="s">
        <v>212</v>
      </c>
      <c r="E2" s="111" t="s">
        <v>196</v>
      </c>
      <c r="F2" s="111" t="s">
        <v>197</v>
      </c>
      <c r="G2" s="111" t="s">
        <v>198</v>
      </c>
      <c r="H2" s="111" t="s">
        <v>202</v>
      </c>
      <c r="I2" s="111" t="s">
        <v>203</v>
      </c>
      <c r="J2" s="111" t="s">
        <v>199</v>
      </c>
      <c r="K2" s="111" t="s">
        <v>200</v>
      </c>
      <c r="L2" s="111" t="s">
        <v>201</v>
      </c>
      <c r="M2" s="112" t="s">
        <v>206</v>
      </c>
    </row>
    <row r="3" spans="2:13" ht="30" x14ac:dyDescent="0.25">
      <c r="B3" s="114" t="s">
        <v>175</v>
      </c>
      <c r="C3" s="115">
        <v>2019</v>
      </c>
      <c r="D3" s="116" t="s">
        <v>214</v>
      </c>
      <c r="E3" s="117">
        <v>43732</v>
      </c>
      <c r="F3" s="115">
        <v>227670</v>
      </c>
      <c r="G3" s="118">
        <v>5430</v>
      </c>
      <c r="H3" s="118">
        <v>695.45</v>
      </c>
      <c r="I3" s="118">
        <v>6125.45</v>
      </c>
      <c r="J3" s="117">
        <v>43731</v>
      </c>
      <c r="K3" s="115" t="s">
        <v>204</v>
      </c>
      <c r="L3" s="115" t="s">
        <v>205</v>
      </c>
      <c r="M3" s="119" t="s">
        <v>207</v>
      </c>
    </row>
    <row r="4" spans="2:13" ht="45" x14ac:dyDescent="0.25">
      <c r="B4" s="120" t="s">
        <v>180</v>
      </c>
      <c r="C4" s="113">
        <v>2019</v>
      </c>
      <c r="D4" s="121" t="s">
        <v>213</v>
      </c>
      <c r="E4" s="122">
        <v>43887</v>
      </c>
      <c r="F4" s="113">
        <v>238013</v>
      </c>
      <c r="G4" s="123">
        <v>3620</v>
      </c>
      <c r="H4" s="123">
        <v>695.45</v>
      </c>
      <c r="I4" s="123">
        <v>4315.45</v>
      </c>
      <c r="J4" s="122">
        <v>43846</v>
      </c>
      <c r="K4" s="113" t="s">
        <v>208</v>
      </c>
      <c r="L4" s="113" t="s">
        <v>205</v>
      </c>
      <c r="M4" s="124" t="s">
        <v>209</v>
      </c>
    </row>
    <row r="5" spans="2:13" ht="30" x14ac:dyDescent="0.25">
      <c r="B5" s="114" t="s">
        <v>210</v>
      </c>
      <c r="C5" s="115">
        <v>2022</v>
      </c>
      <c r="D5" s="116" t="s">
        <v>214</v>
      </c>
      <c r="E5" s="117">
        <v>44764</v>
      </c>
      <c r="F5" s="115">
        <v>301292</v>
      </c>
      <c r="G5" s="118">
        <v>5430</v>
      </c>
      <c r="H5" s="118">
        <v>695.45</v>
      </c>
      <c r="I5" s="118">
        <v>6125.45</v>
      </c>
      <c r="J5" s="117">
        <v>44764</v>
      </c>
      <c r="K5" s="117">
        <v>44765</v>
      </c>
      <c r="L5" s="115" t="s">
        <v>211</v>
      </c>
      <c r="M5" s="119" t="s">
        <v>215</v>
      </c>
    </row>
    <row r="6" spans="2:13" x14ac:dyDescent="0.25">
      <c r="G6" s="110"/>
      <c r="I6" s="110"/>
    </row>
    <row r="7" spans="2:13" x14ac:dyDescent="0.25">
      <c r="I7" s="110"/>
    </row>
    <row r="11" spans="2:13" x14ac:dyDescent="0.25">
      <c r="B11" s="182" t="s">
        <v>249</v>
      </c>
      <c r="C11" s="183" t="s">
        <v>194</v>
      </c>
      <c r="D11" s="183" t="s">
        <v>212</v>
      </c>
      <c r="E11" s="183" t="s">
        <v>250</v>
      </c>
      <c r="F11" s="183" t="s">
        <v>251</v>
      </c>
      <c r="G11" s="126"/>
    </row>
    <row r="12" spans="2:13" x14ac:dyDescent="0.25">
      <c r="B12" s="178">
        <v>2025</v>
      </c>
      <c r="C12" s="175" t="s">
        <v>210</v>
      </c>
      <c r="D12" s="175" t="s">
        <v>252</v>
      </c>
      <c r="E12" s="175" t="s">
        <v>253</v>
      </c>
      <c r="F12" s="175" t="s">
        <v>255</v>
      </c>
    </row>
    <row r="13" spans="2:13" x14ac:dyDescent="0.25">
      <c r="B13" s="179"/>
      <c r="C13" s="176"/>
      <c r="D13" s="176"/>
      <c r="E13" s="176"/>
      <c r="F13" s="176" t="s">
        <v>254</v>
      </c>
    </row>
    <row r="14" spans="2:13" x14ac:dyDescent="0.25">
      <c r="B14" s="178">
        <v>2022</v>
      </c>
      <c r="C14" s="175" t="s">
        <v>179</v>
      </c>
      <c r="D14" s="175" t="s">
        <v>258</v>
      </c>
      <c r="E14" s="175" t="s">
        <v>259</v>
      </c>
      <c r="F14" s="175" t="s">
        <v>260</v>
      </c>
    </row>
    <row r="15" spans="2:13" x14ac:dyDescent="0.25">
      <c r="B15" s="179"/>
      <c r="C15" s="176"/>
      <c r="D15" s="176"/>
      <c r="E15" s="176"/>
      <c r="F15" s="176" t="s">
        <v>261</v>
      </c>
    </row>
    <row r="16" spans="2:13" ht="45" x14ac:dyDescent="0.25">
      <c r="B16" s="180">
        <v>2023</v>
      </c>
      <c r="C16" s="181" t="s">
        <v>177</v>
      </c>
      <c r="D16" s="181" t="s">
        <v>256</v>
      </c>
      <c r="E16" s="177" t="s">
        <v>257</v>
      </c>
      <c r="F16" s="177" t="s">
        <v>262</v>
      </c>
    </row>
    <row r="17" spans="2:6" ht="45" x14ac:dyDescent="0.25">
      <c r="B17" s="180">
        <v>2024</v>
      </c>
      <c r="C17" s="181" t="s">
        <v>178</v>
      </c>
      <c r="D17" s="181" t="s">
        <v>256</v>
      </c>
      <c r="E17" s="177" t="s">
        <v>257</v>
      </c>
      <c r="F17" s="177" t="s">
        <v>262</v>
      </c>
    </row>
    <row r="18" spans="2:6" ht="30" x14ac:dyDescent="0.25">
      <c r="B18" s="180">
        <v>2023</v>
      </c>
      <c r="C18" s="181" t="s">
        <v>265</v>
      </c>
      <c r="D18" s="181" t="s">
        <v>266</v>
      </c>
      <c r="E18" s="181" t="s">
        <v>267</v>
      </c>
      <c r="F18" s="17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Cobranza</vt:lpstr>
      <vt:lpstr>Pagos Impuestos </vt:lpstr>
      <vt:lpstr>Vigencia E Firmas y Sellos</vt:lpstr>
      <vt:lpstr>Datos Informativos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 Tax</dc:creator>
  <cp:lastModifiedBy>Baja Tax Impuestos</cp:lastModifiedBy>
  <cp:lastPrinted>2026-01-26T20:32:30Z</cp:lastPrinted>
  <dcterms:created xsi:type="dcterms:W3CDTF">2025-05-07T19:08:29Z</dcterms:created>
  <dcterms:modified xsi:type="dcterms:W3CDTF">2026-03-04T18:20:35Z</dcterms:modified>
</cp:coreProperties>
</file>